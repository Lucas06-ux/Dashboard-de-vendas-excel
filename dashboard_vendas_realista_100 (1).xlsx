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hidePivotFieldList="1"/>
  <xr:revisionPtr revIDLastSave="0" documentId="8_{6BEAE2CC-29E5-4837-9210-0923325EA52A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Vendas" sheetId="1" state="hidden" r:id="rId1"/>
    <sheet name="Planilha1" sheetId="2" state="hidden" r:id="rId2"/>
    <sheet name="Planilha2" sheetId="3" r:id="rId3"/>
  </sheets>
  <definedNames>
    <definedName name="_xlnm._FilterDatabase" localSheetId="0" hidden="1">Vendas!$A$1:$O$101</definedName>
    <definedName name="SegmentaçãodeDados_Categoria1">#N/A</definedName>
    <definedName name="SegmentaçãodeDados_Forma_Pagamento1">#N/A</definedName>
  </definedNames>
  <calcPr calcId="191028"/>
  <pivotCaches>
    <pivotCache cacheId="10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J11" i="3"/>
  <c r="E11" i="3"/>
</calcChain>
</file>

<file path=xl/sharedStrings.xml><?xml version="1.0" encoding="utf-8"?>
<sst xmlns="http://schemas.openxmlformats.org/spreadsheetml/2006/main" count="969" uniqueCount="256">
  <si>
    <t>ID_Venda</t>
  </si>
  <si>
    <t>Data</t>
  </si>
  <si>
    <t>Vendedor</t>
  </si>
  <si>
    <t>Região</t>
  </si>
  <si>
    <t>Produto</t>
  </si>
  <si>
    <t>Categoria</t>
  </si>
  <si>
    <t>Quantidade</t>
  </si>
  <si>
    <t>Preço_Unitário</t>
  </si>
  <si>
    <t>Desconto_%</t>
  </si>
  <si>
    <t>Receita</t>
  </si>
  <si>
    <t>Custo</t>
  </si>
  <si>
    <t>Lucro</t>
  </si>
  <si>
    <t>Forma_Pagamento</t>
  </si>
  <si>
    <t>Canal_Venda</t>
  </si>
  <si>
    <t>Cliente</t>
  </si>
  <si>
    <t>V001</t>
  </si>
  <si>
    <t>14/08/2025</t>
  </si>
  <si>
    <t>Maria</t>
  </si>
  <si>
    <t>Norte</t>
  </si>
  <si>
    <t>Monitor 27</t>
  </si>
  <si>
    <t>Monitores</t>
  </si>
  <si>
    <t>Boleto</t>
  </si>
  <si>
    <t>Online</t>
  </si>
  <si>
    <t>StartUp One</t>
  </si>
  <si>
    <t>V002</t>
  </si>
  <si>
    <t>13/10/2025</t>
  </si>
  <si>
    <t>Carlos</t>
  </si>
  <si>
    <t>Sul</t>
  </si>
  <si>
    <t>Monitor 24</t>
  </si>
  <si>
    <t>Transferência</t>
  </si>
  <si>
    <t>Marketplace</t>
  </si>
  <si>
    <t>Cliente Avulso</t>
  </si>
  <si>
    <t>V003</t>
  </si>
  <si>
    <t>11/03/2025</t>
  </si>
  <si>
    <t>Fernanda</t>
  </si>
  <si>
    <t>Mercado Alpha</t>
  </si>
  <si>
    <t>V004</t>
  </si>
  <si>
    <t>16/08/2025</t>
  </si>
  <si>
    <t>Notebook Lenovo</t>
  </si>
  <si>
    <t>Eletrônicos</t>
  </si>
  <si>
    <t>Pix</t>
  </si>
  <si>
    <t>V005</t>
  </si>
  <si>
    <t>23/08/2025</t>
  </si>
  <si>
    <t>Pedro</t>
  </si>
  <si>
    <t>Sudeste</t>
  </si>
  <si>
    <t>Headset</t>
  </si>
  <si>
    <t>Áudio</t>
  </si>
  <si>
    <t>Débito</t>
  </si>
  <si>
    <t>Tech Solutions</t>
  </si>
  <si>
    <t>V006</t>
  </si>
  <si>
    <t>09/04/2026</t>
  </si>
  <si>
    <t>Centro-Oeste</t>
  </si>
  <si>
    <t>Notebook Dell</t>
  </si>
  <si>
    <t>Cartão</t>
  </si>
  <si>
    <t>Lucas Lima</t>
  </si>
  <si>
    <t>V007</t>
  </si>
  <si>
    <t>06/11/2025</t>
  </si>
  <si>
    <t>Ana</t>
  </si>
  <si>
    <t>SSD 1TB</t>
  </si>
  <si>
    <t>Armazenamento</t>
  </si>
  <si>
    <t>V008</t>
  </si>
  <si>
    <t>09/01/2025</t>
  </si>
  <si>
    <t>Mouse Gamer</t>
  </si>
  <si>
    <t>Periféricos</t>
  </si>
  <si>
    <t>João Silva</t>
  </si>
  <si>
    <t>V009</t>
  </si>
  <si>
    <t>01/08/2025</t>
  </si>
  <si>
    <t>Empresa XP</t>
  </si>
  <si>
    <t>V010</t>
  </si>
  <si>
    <t>26/03/2026</t>
  </si>
  <si>
    <t>Lucas</t>
  </si>
  <si>
    <t>Teclado Mecânico</t>
  </si>
  <si>
    <t>Loja Física</t>
  </si>
  <si>
    <t>Maria Souza</t>
  </si>
  <si>
    <t>V011</t>
  </si>
  <si>
    <t>04/08/2025</t>
  </si>
  <si>
    <t>V012</t>
  </si>
  <si>
    <t>19/08/2025</t>
  </si>
  <si>
    <t>V013</t>
  </si>
  <si>
    <t>09/09/2025</t>
  </si>
  <si>
    <t>Nordeste</t>
  </si>
  <si>
    <t>V014</t>
  </si>
  <si>
    <t>24/03/2025</t>
  </si>
  <si>
    <t>V015</t>
  </si>
  <si>
    <t>V016</t>
  </si>
  <si>
    <t>21/04/2025</t>
  </si>
  <si>
    <t>V017</t>
  </si>
  <si>
    <t>30/10/2025</t>
  </si>
  <si>
    <t>V018</t>
  </si>
  <si>
    <t>27/02/2026</t>
  </si>
  <si>
    <t>V019</t>
  </si>
  <si>
    <t>20/05/2025</t>
  </si>
  <si>
    <t>V020</t>
  </si>
  <si>
    <t>23/10/2025</t>
  </si>
  <si>
    <t>Loja Prime</t>
  </si>
  <si>
    <t>V021</t>
  </si>
  <si>
    <t>16/06/2025</t>
  </si>
  <si>
    <t>V022</t>
  </si>
  <si>
    <t>31/01/2026</t>
  </si>
  <si>
    <t>Comercial Brasil</t>
  </si>
  <si>
    <t>V023</t>
  </si>
  <si>
    <t>22/02/2026</t>
  </si>
  <si>
    <t>V024</t>
  </si>
  <si>
    <t>25/08/2025</t>
  </si>
  <si>
    <t>V025</t>
  </si>
  <si>
    <t>26/03/2025</t>
  </si>
  <si>
    <t>V026</t>
  </si>
  <si>
    <t>30/01/2025</t>
  </si>
  <si>
    <t>V027</t>
  </si>
  <si>
    <t>16/02/2026</t>
  </si>
  <si>
    <t>Caixa de Som</t>
  </si>
  <si>
    <t>V028</t>
  </si>
  <si>
    <t>19/02/2026</t>
  </si>
  <si>
    <t>V029</t>
  </si>
  <si>
    <t>04/09/2025</t>
  </si>
  <si>
    <t>V030</t>
  </si>
  <si>
    <t>02/10/2025</t>
  </si>
  <si>
    <t>V031</t>
  </si>
  <si>
    <t>28/09/2025</t>
  </si>
  <si>
    <t>V032</t>
  </si>
  <si>
    <t>27/09/2025</t>
  </si>
  <si>
    <t>Webcam HD</t>
  </si>
  <si>
    <t>Acessórios</t>
  </si>
  <si>
    <t>V033</t>
  </si>
  <si>
    <t>14/07/2025</t>
  </si>
  <si>
    <t>V034</t>
  </si>
  <si>
    <t>20/06/2025</t>
  </si>
  <si>
    <t>V035</t>
  </si>
  <si>
    <t>16/01/2026</t>
  </si>
  <si>
    <t>V036</t>
  </si>
  <si>
    <t>29/11/2025</t>
  </si>
  <si>
    <t>V037</t>
  </si>
  <si>
    <t>10/03/2026</t>
  </si>
  <si>
    <t>V038</t>
  </si>
  <si>
    <t>27/11/2025</t>
  </si>
  <si>
    <t>V039</t>
  </si>
  <si>
    <t>08/12/2025</t>
  </si>
  <si>
    <t>V040</t>
  </si>
  <si>
    <t>03/03/2026</t>
  </si>
  <si>
    <t>V041</t>
  </si>
  <si>
    <t>31/07/2025</t>
  </si>
  <si>
    <t>V042</t>
  </si>
  <si>
    <t>05/10/2025</t>
  </si>
  <si>
    <t>V043</t>
  </si>
  <si>
    <t>28/04/2025</t>
  </si>
  <si>
    <t>V044</t>
  </si>
  <si>
    <t>10/04/2025</t>
  </si>
  <si>
    <t>V045</t>
  </si>
  <si>
    <t>01/01/2025</t>
  </si>
  <si>
    <t>V046</t>
  </si>
  <si>
    <t>05/04/2025</t>
  </si>
  <si>
    <t>V047</t>
  </si>
  <si>
    <t>08/07/2025</t>
  </si>
  <si>
    <t>V048</t>
  </si>
  <si>
    <t>14/01/2025</t>
  </si>
  <si>
    <t>V049</t>
  </si>
  <si>
    <t>14/12/2025</t>
  </si>
  <si>
    <t>V050</t>
  </si>
  <si>
    <t>V051</t>
  </si>
  <si>
    <t>24/01/2026</t>
  </si>
  <si>
    <t>V052</t>
  </si>
  <si>
    <t>22/01/2025</t>
  </si>
  <si>
    <t>V053</t>
  </si>
  <si>
    <t>31/05/2025</t>
  </si>
  <si>
    <t>V054</t>
  </si>
  <si>
    <t>26/02/2026</t>
  </si>
  <si>
    <t>V055</t>
  </si>
  <si>
    <t>30/04/2026</t>
  </si>
  <si>
    <t>V056</t>
  </si>
  <si>
    <t>25/10/2025</t>
  </si>
  <si>
    <t>V057</t>
  </si>
  <si>
    <t>25/12/2025</t>
  </si>
  <si>
    <t>V058</t>
  </si>
  <si>
    <t>23/03/2025</t>
  </si>
  <si>
    <t>V059</t>
  </si>
  <si>
    <t>30/06/2025</t>
  </si>
  <si>
    <t>V060</t>
  </si>
  <si>
    <t>08/11/2025</t>
  </si>
  <si>
    <t>V061</t>
  </si>
  <si>
    <t>12/03/2026</t>
  </si>
  <si>
    <t>V062</t>
  </si>
  <si>
    <t>11/03/2026</t>
  </si>
  <si>
    <t>V063</t>
  </si>
  <si>
    <t>13/02/2026</t>
  </si>
  <si>
    <t>V064</t>
  </si>
  <si>
    <t>13/04/2026</t>
  </si>
  <si>
    <t>V065</t>
  </si>
  <si>
    <t>V066</t>
  </si>
  <si>
    <t>15/03/2026</t>
  </si>
  <si>
    <t>V067</t>
  </si>
  <si>
    <t>13/01/2026</t>
  </si>
  <si>
    <t>V068</t>
  </si>
  <si>
    <t>07/07/2025</t>
  </si>
  <si>
    <t>V069</t>
  </si>
  <si>
    <t>V070</t>
  </si>
  <si>
    <t>05/01/2025</t>
  </si>
  <si>
    <t>V071</t>
  </si>
  <si>
    <t>26/02/2025</t>
  </si>
  <si>
    <t>V072</t>
  </si>
  <si>
    <t>19/03/2026</t>
  </si>
  <si>
    <t>V073</t>
  </si>
  <si>
    <t>05/06/2025</t>
  </si>
  <si>
    <t>V074</t>
  </si>
  <si>
    <t>02/04/2025</t>
  </si>
  <si>
    <t>V075</t>
  </si>
  <si>
    <t>V076</t>
  </si>
  <si>
    <t>28/02/2026</t>
  </si>
  <si>
    <t>V077</t>
  </si>
  <si>
    <t>V078</t>
  </si>
  <si>
    <t>V079</t>
  </si>
  <si>
    <t>14/06/2025</t>
  </si>
  <si>
    <t>V080</t>
  </si>
  <si>
    <t>12/11/2025</t>
  </si>
  <si>
    <t>V081</t>
  </si>
  <si>
    <t>08/05/2026</t>
  </si>
  <si>
    <t>V082</t>
  </si>
  <si>
    <t>17/01/2025</t>
  </si>
  <si>
    <t>V083</t>
  </si>
  <si>
    <t>V084</t>
  </si>
  <si>
    <t>09/11/2025</t>
  </si>
  <si>
    <t>V085</t>
  </si>
  <si>
    <t>20/12/2025</t>
  </si>
  <si>
    <t>V086</t>
  </si>
  <si>
    <t>10/08/2025</t>
  </si>
  <si>
    <t>V087</t>
  </si>
  <si>
    <t>V088</t>
  </si>
  <si>
    <t>V089</t>
  </si>
  <si>
    <t>06/07/2025</t>
  </si>
  <si>
    <t>V090</t>
  </si>
  <si>
    <t>30/12/2025</t>
  </si>
  <si>
    <t>V091</t>
  </si>
  <si>
    <t>24/02/2026</t>
  </si>
  <si>
    <t>V092</t>
  </si>
  <si>
    <t>09/07/2025</t>
  </si>
  <si>
    <t>V093</t>
  </si>
  <si>
    <t>V094</t>
  </si>
  <si>
    <t>V095</t>
  </si>
  <si>
    <t>V096</t>
  </si>
  <si>
    <t>V097</t>
  </si>
  <si>
    <t>02/01/2025</t>
  </si>
  <si>
    <t>V098</t>
  </si>
  <si>
    <t>17/09/2025</t>
  </si>
  <si>
    <t>V099</t>
  </si>
  <si>
    <t>12/07/2025</t>
  </si>
  <si>
    <t>V100</t>
  </si>
  <si>
    <t>22/04/2026</t>
  </si>
  <si>
    <t>(Tudo)</t>
  </si>
  <si>
    <t>Soma de Receita</t>
  </si>
  <si>
    <t>Total Geral</t>
  </si>
  <si>
    <t>Level up sales</t>
  </si>
  <si>
    <t xml:space="preserve">                 Receita total</t>
  </si>
  <si>
    <t xml:space="preserve">                         Lucro</t>
  </si>
  <si>
    <r>
      <rPr>
        <sz val="11"/>
        <color rgb="FF000000"/>
        <rFont val="Calibri"/>
        <scheme val="minor"/>
      </rPr>
      <t xml:space="preserve">                                        </t>
    </r>
    <r>
      <rPr>
        <sz val="24"/>
        <color rgb="FF000000"/>
        <rFont val="Calibri"/>
        <scheme val="minor"/>
      </rPr>
      <t>Quantidade</t>
    </r>
  </si>
  <si>
    <t>Soma de Lucro</t>
  </si>
  <si>
    <t>Soma de Quantidade</t>
  </si>
  <si>
    <t>Contagem de ID_Venda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</si>
</sst>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sz val="24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4FA"/>
        <bgColor indexed="64"/>
      </patternFill>
    </fill>
    <fill>
      <patternFill patternType="solid">
        <fgColor rgb="FF2B1E4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5" applyNumberFormat="0" applyFill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2" borderId="4" xfId="0" applyFont="1" applyFill="1" applyBorder="1"/>
    <xf numFmtId="0" fontId="0" fillId="2" borderId="4" xfId="0" applyNumberFormat="1" applyFont="1" applyFill="1" applyBorder="1"/>
    <xf numFmtId="164" fontId="0" fillId="2" borderId="4" xfId="0" applyNumberFormat="1" applyFont="1" applyFill="1" applyBorder="1"/>
    <xf numFmtId="0" fontId="0" fillId="2" borderId="3" xfId="0" applyFont="1" applyFill="1" applyBorder="1"/>
    <xf numFmtId="0" fontId="0" fillId="3" borderId="4" xfId="0" applyFont="1" applyFill="1" applyBorder="1"/>
    <xf numFmtId="0" fontId="0" fillId="3" borderId="4" xfId="0" applyNumberFormat="1" applyFont="1" applyFill="1" applyBorder="1"/>
    <xf numFmtId="164" fontId="0" fillId="3" borderId="4" xfId="0" applyNumberFormat="1" applyFont="1" applyFill="1" applyBorder="1"/>
    <xf numFmtId="0" fontId="0" fillId="3" borderId="3" xfId="0" applyFont="1" applyFill="1" applyBorder="1"/>
    <xf numFmtId="0" fontId="0" fillId="3" borderId="2" xfId="0" applyFont="1" applyFill="1" applyBorder="1"/>
    <xf numFmtId="0" fontId="0" fillId="3" borderId="2" xfId="0" applyNumberFormat="1" applyFont="1" applyFill="1" applyBorder="1"/>
    <xf numFmtId="164" fontId="0" fillId="3" borderId="2" xfId="0" applyNumberFormat="1" applyFont="1" applyFill="1" applyBorder="1"/>
    <xf numFmtId="0" fontId="0" fillId="3" borderId="1" xfId="0" applyFont="1" applyFill="1" applyBorder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64" fontId="0" fillId="6" borderId="0" xfId="0" applyNumberFormat="1" applyFill="1"/>
    <xf numFmtId="0" fontId="0" fillId="6" borderId="0" xfId="0" applyFill="1"/>
    <xf numFmtId="0" fontId="0" fillId="7" borderId="0" xfId="0" applyFill="1"/>
    <xf numFmtId="0" fontId="1" fillId="0" borderId="5" xfId="1" applyFill="1"/>
    <xf numFmtId="0" fontId="2" fillId="6" borderId="0" xfId="0" applyFont="1" applyFill="1"/>
    <xf numFmtId="164" fontId="3" fillId="6" borderId="0" xfId="0" applyNumberFormat="1" applyFont="1" applyFill="1"/>
    <xf numFmtId="0" fontId="4" fillId="6" borderId="0" xfId="0" applyFont="1" applyFill="1"/>
    <xf numFmtId="0" fontId="3" fillId="6" borderId="0" xfId="0" applyFont="1" applyFill="1"/>
  </cellXfs>
  <cellStyles count="2">
    <cellStyle name="Normal" xfId="0" builtinId="0"/>
    <cellStyle name="Título 1" xfId="1" builtinId="16"/>
  </cellStyles>
  <dxfs count="6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>
    <mruColors>
      <color rgb="FFFFFFFF"/>
      <color rgb="FFF1F4FA"/>
      <color rgb="FF2B1E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[dashboard_vendas_realista_100.xlsx]Planilha1!tbl_soma_receitas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Planilha1!$C$6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Planilha1!$B$7:$B$17</c:f>
              <c:strCache>
                <c:ptCount val="10"/>
                <c:pt idx="0">
                  <c:v>Caixa de Som</c:v>
                </c:pt>
                <c:pt idx="1">
                  <c:v>Headset</c:v>
                </c:pt>
                <c:pt idx="2">
                  <c:v>Monitor 24</c:v>
                </c:pt>
                <c:pt idx="3">
                  <c:v>Monitor 27</c:v>
                </c:pt>
                <c:pt idx="4">
                  <c:v>Mouse Gamer</c:v>
                </c:pt>
                <c:pt idx="5">
                  <c:v>Notebook Dell</c:v>
                </c:pt>
                <c:pt idx="6">
                  <c:v>Notebook Lenovo</c:v>
                </c:pt>
                <c:pt idx="7">
                  <c:v>SSD 1TB</c:v>
                </c:pt>
                <c:pt idx="8">
                  <c:v>Teclado Mecânico</c:v>
                </c:pt>
                <c:pt idx="9">
                  <c:v>Webcam HD</c:v>
                </c:pt>
              </c:strCache>
            </c:strRef>
          </c:cat>
          <c:val>
            <c:numRef>
              <c:f>Planilha1!$C$7:$C$17</c:f>
              <c:numCache>
                <c:formatCode>"R$"\ #,##0.00</c:formatCode>
                <c:ptCount val="10"/>
                <c:pt idx="0">
                  <c:v>4617.4799999999996</c:v>
                </c:pt>
                <c:pt idx="1">
                  <c:v>12447.220000000003</c:v>
                </c:pt>
                <c:pt idx="2">
                  <c:v>67997.86</c:v>
                </c:pt>
                <c:pt idx="3">
                  <c:v>105705.25</c:v>
                </c:pt>
                <c:pt idx="4">
                  <c:v>10723.09</c:v>
                </c:pt>
                <c:pt idx="5">
                  <c:v>346553.54</c:v>
                </c:pt>
                <c:pt idx="6">
                  <c:v>348725.04000000004</c:v>
                </c:pt>
                <c:pt idx="7">
                  <c:v>42759.61</c:v>
                </c:pt>
                <c:pt idx="8">
                  <c:v>23485.71</c:v>
                </c:pt>
                <c:pt idx="9">
                  <c:v>10801.060000000001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A-48CA-882F-8D88B6C54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[dashboard_vendas_realista_100.xlsx]Planilha2!Tabela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Planilha2!$G$130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Planilha2!$F$131:$F$141</c:f>
              <c:strCache>
                <c:ptCount val="10"/>
                <c:pt idx="0">
                  <c:v>Caixa de Som</c:v>
                </c:pt>
                <c:pt idx="1">
                  <c:v>Headset</c:v>
                </c:pt>
                <c:pt idx="2">
                  <c:v>Monitor 24</c:v>
                </c:pt>
                <c:pt idx="3">
                  <c:v>Monitor 27</c:v>
                </c:pt>
                <c:pt idx="4">
                  <c:v>Mouse Gamer</c:v>
                </c:pt>
                <c:pt idx="5">
                  <c:v>Notebook Dell</c:v>
                </c:pt>
                <c:pt idx="6">
                  <c:v>Notebook Lenovo</c:v>
                </c:pt>
                <c:pt idx="7">
                  <c:v>SSD 1TB</c:v>
                </c:pt>
                <c:pt idx="8">
                  <c:v>Teclado Mecânico</c:v>
                </c:pt>
                <c:pt idx="9">
                  <c:v>Webcam HD</c:v>
                </c:pt>
              </c:strCache>
            </c:strRef>
          </c:cat>
          <c:val>
            <c:numRef>
              <c:f>Planilha2!$G$131:$G$141</c:f>
              <c:numCache>
                <c:formatCode>"R$"\ #,##0.00</c:formatCode>
                <c:ptCount val="10"/>
                <c:pt idx="0">
                  <c:v>4617.4799999999996</c:v>
                </c:pt>
                <c:pt idx="1">
                  <c:v>12447.220000000003</c:v>
                </c:pt>
                <c:pt idx="2">
                  <c:v>67997.86</c:v>
                </c:pt>
                <c:pt idx="3">
                  <c:v>105705.25</c:v>
                </c:pt>
                <c:pt idx="4">
                  <c:v>10723.09</c:v>
                </c:pt>
                <c:pt idx="5">
                  <c:v>346553.54</c:v>
                </c:pt>
                <c:pt idx="6">
                  <c:v>348725.04000000004</c:v>
                </c:pt>
                <c:pt idx="7">
                  <c:v>42759.61</c:v>
                </c:pt>
                <c:pt idx="8">
                  <c:v>23485.71</c:v>
                </c:pt>
                <c:pt idx="9">
                  <c:v>10801.060000000001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2-47B4-85D2-AC8EC16BA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646983"/>
        <c:axId val="539995143"/>
      </c:barChart>
      <c:catAx>
        <c:axId val="539646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95143"/>
        <c:crosses val="autoZero"/>
        <c:auto val="1"/>
        <c:lblAlgn val="ctr"/>
        <c:lblOffset val="100"/>
        <c:noMultiLvlLbl val="0"/>
      </c:catAx>
      <c:valAx>
        <c:axId val="53999514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539646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[dashboard_vendas_realista_100.xlsx]Planilha2!Tabela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Planilha2!$L$149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Planilha2!$K$150:$K$156</c:f>
              <c:strCache>
                <c:ptCount val="6"/>
                <c:pt idx="0">
                  <c:v>Acessórios</c:v>
                </c:pt>
                <c:pt idx="1">
                  <c:v>Armazenamento</c:v>
                </c:pt>
                <c:pt idx="2">
                  <c:v>Áudio</c:v>
                </c:pt>
                <c:pt idx="3">
                  <c:v>Eletrônicos</c:v>
                </c:pt>
                <c:pt idx="4">
                  <c:v>Monitores</c:v>
                </c:pt>
                <c:pt idx="5">
                  <c:v>Periféricos</c:v>
                </c:pt>
              </c:strCache>
            </c:strRef>
          </c:cat>
          <c:val>
            <c:numRef>
              <c:f>Planilha2!$L$150:$L$156</c:f>
              <c:numCache>
                <c:formatCode>"R$"\ #,##0.00</c:formatCode>
                <c:ptCount val="6"/>
                <c:pt idx="0">
                  <c:v>10801.060000000001</c:v>
                </c:pt>
                <c:pt idx="1">
                  <c:v>42759.61</c:v>
                </c:pt>
                <c:pt idx="2">
                  <c:v>17064.7</c:v>
                </c:pt>
                <c:pt idx="3">
                  <c:v>695278.57999999984</c:v>
                </c:pt>
                <c:pt idx="4">
                  <c:v>173703.11</c:v>
                </c:pt>
                <c:pt idx="5">
                  <c:v>34208.799999999996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4-451C-8CB2-883DBC9A3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6671367"/>
        <c:axId val="447029255"/>
      </c:barChart>
      <c:catAx>
        <c:axId val="446671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29255"/>
        <c:crosses val="autoZero"/>
        <c:auto val="1"/>
        <c:lblAlgn val="ctr"/>
        <c:lblOffset val="100"/>
        <c:noMultiLvlLbl val="0"/>
      </c:catAx>
      <c:valAx>
        <c:axId val="44702925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46671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[dashboard_vendas_realista_100.xlsx]Planilha2!Tabela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Planilha2!$G$156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Planilha2!$F$157:$F$162</c:f>
              <c:strCache>
                <c:ptCount val="5"/>
                <c:pt idx="0">
                  <c:v>Boleto</c:v>
                </c:pt>
                <c:pt idx="1">
                  <c:v>Cartão</c:v>
                </c:pt>
                <c:pt idx="2">
                  <c:v>Débito</c:v>
                </c:pt>
                <c:pt idx="3">
                  <c:v>Pix</c:v>
                </c:pt>
                <c:pt idx="4">
                  <c:v>Transferência</c:v>
                </c:pt>
              </c:strCache>
            </c:strRef>
          </c:cat>
          <c:val>
            <c:numRef>
              <c:f>Planilha2!$G$157:$G$162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1-4CE9-A32E-26C0BEC5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294919"/>
        <c:axId val="544326663"/>
      </c:barChart>
      <c:catAx>
        <c:axId val="544294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26663"/>
        <c:crosses val="autoZero"/>
        <c:auto val="1"/>
        <c:lblAlgn val="ctr"/>
        <c:lblOffset val="100"/>
        <c:noMultiLvlLbl val="0"/>
      </c:catAx>
      <c:valAx>
        <c:axId val="544326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4294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tmp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16</xdr:row>
      <xdr:rowOff>66675</xdr:rowOff>
    </xdr:from>
    <xdr:to>
      <xdr:col>0</xdr:col>
      <xdr:colOff>1790700</xdr:colOff>
      <xdr:row>25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orma_Pagamento">
              <a:extLst>
                <a:ext uri="{FF2B5EF4-FFF2-40B4-BE49-F238E27FC236}">
                  <a16:creationId xmlns:a16="http://schemas.microsoft.com/office/drawing/2014/main" id="{1C928D0F-4E0F-4FE9-C706-A16A98829F3C}"/>
                </a:ext>
                <a:ext uri="{147F2762-F138-4A5C-976F-8EAC2B608ADB}">
                  <a16:predDERef xmlns:a16="http://schemas.microsoft.com/office/drawing/2014/main" pred="{0487323B-8D00-B8DB-3FA6-4247931B56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_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275" y="4381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6</xdr:row>
      <xdr:rowOff>85725</xdr:rowOff>
    </xdr:from>
    <xdr:to>
      <xdr:col>0</xdr:col>
      <xdr:colOff>1762125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ia">
              <a:extLst>
                <a:ext uri="{FF2B5EF4-FFF2-40B4-BE49-F238E27FC236}">
                  <a16:creationId xmlns:a16="http://schemas.microsoft.com/office/drawing/2014/main" id="{A54D07E1-5275-6447-FE54-CE1450D4C618}"/>
                </a:ext>
                <a:ext uri="{147F2762-F138-4A5C-976F-8EAC2B608ADB}">
                  <a16:predDERef xmlns:a16="http://schemas.microsoft.com/office/drawing/2014/main" pred="{1C928D0F-4E0F-4FE9-C706-A16A98829F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3695700"/>
              <a:ext cx="182880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428625</xdr:colOff>
      <xdr:row>10</xdr:row>
      <xdr:rowOff>19050</xdr:rowOff>
    </xdr:from>
    <xdr:to>
      <xdr:col>7</xdr:col>
      <xdr:colOff>1000125</xdr:colOff>
      <xdr:row>24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DAB33-D0C0-0CD6-4E51-3B12A1FED33E}"/>
            </a:ext>
            <a:ext uri="{147F2762-F138-4A5C-976F-8EAC2B608ADB}">
              <a16:predDERef xmlns:a16="http://schemas.microsoft.com/office/drawing/2014/main" pred="{A54D07E1-5275-6447-FE54-CE1450D4C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1343025</xdr:colOff>
      <xdr:row>6</xdr:row>
      <xdr:rowOff>133350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6CE0F65-5D3B-8E18-E8F1-58DD3479A97D}"/>
            </a:ext>
            <a:ext uri="{147F2762-F138-4A5C-976F-8EAC2B608ADB}">
              <a16:predDERef xmlns:a16="http://schemas.microsoft.com/office/drawing/2014/main" pred="{A48C0393-9714-473C-FDF5-A6DB4843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3025" cy="1495425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152400</xdr:rowOff>
    </xdr:from>
    <xdr:to>
      <xdr:col>0</xdr:col>
      <xdr:colOff>1343025</xdr:colOff>
      <xdr:row>16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ategoria 1">
              <a:extLst>
                <a:ext uri="{FF2B5EF4-FFF2-40B4-BE49-F238E27FC236}">
                  <a16:creationId xmlns:a16="http://schemas.microsoft.com/office/drawing/2014/main" id="{4B38B8DC-7ADD-DBA6-4A4D-B8B1F7382C96}"/>
                </a:ext>
                <a:ext uri="{147F2762-F138-4A5C-976F-8EAC2B608ADB}">
                  <a16:predDERef xmlns:a16="http://schemas.microsoft.com/office/drawing/2014/main" pred="{76CE0F65-5D3B-8E18-E8F1-58DD3479A9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14475"/>
              <a:ext cx="1323975" cy="2105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9525</xdr:colOff>
      <xdr:row>16</xdr:row>
      <xdr:rowOff>123825</xdr:rowOff>
    </xdr:from>
    <xdr:to>
      <xdr:col>1</xdr:col>
      <xdr:colOff>9525</xdr:colOff>
      <xdr:row>25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Forma_Pagamento 1">
              <a:extLst>
                <a:ext uri="{FF2B5EF4-FFF2-40B4-BE49-F238E27FC236}">
                  <a16:creationId xmlns:a16="http://schemas.microsoft.com/office/drawing/2014/main" id="{DA1B9611-54ED-730B-05AA-54062BAA3D4C}"/>
                </a:ext>
                <a:ext uri="{147F2762-F138-4A5C-976F-8EAC2B608ADB}">
                  <a16:predDERef xmlns:a16="http://schemas.microsoft.com/office/drawing/2014/main" pred="{4B38B8DC-7ADD-DBA6-4A4D-B8B1F7382C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_Pag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609975"/>
              <a:ext cx="135255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10</xdr:col>
      <xdr:colOff>95250</xdr:colOff>
      <xdr:row>12</xdr:row>
      <xdr:rowOff>123825</xdr:rowOff>
    </xdr:from>
    <xdr:to>
      <xdr:col>19</xdr:col>
      <xdr:colOff>266700</xdr:colOff>
      <xdr:row>32</xdr:row>
      <xdr:rowOff>38100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8CFDDF64-1ED4-9BFC-EE62-E962BC3F2A34}"/>
            </a:ext>
            <a:ext uri="{147F2762-F138-4A5C-976F-8EAC2B608ADB}">
              <a16:predDERef xmlns:a16="http://schemas.microsoft.com/office/drawing/2014/main" pred="{DA1B9611-54ED-730B-05AA-54062BAA3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209550</xdr:colOff>
      <xdr:row>12</xdr:row>
      <xdr:rowOff>114300</xdr:rowOff>
    </xdr:from>
    <xdr:to>
      <xdr:col>8</xdr:col>
      <xdr:colOff>428625</xdr:colOff>
      <xdr:row>30</xdr:row>
      <xdr:rowOff>133350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681807A-BC45-4C0B-BFA2-56C993B36BCB}"/>
            </a:ext>
            <a:ext uri="{147F2762-F138-4A5C-976F-8EAC2B608ADB}">
              <a16:predDERef xmlns:a16="http://schemas.microsoft.com/office/drawing/2014/main" pred="{8CFDDF64-1ED4-9BFC-EE62-E962BC3F2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266700</xdr:colOff>
      <xdr:row>32</xdr:row>
      <xdr:rowOff>66675</xdr:rowOff>
    </xdr:from>
    <xdr:to>
      <xdr:col>8</xdr:col>
      <xdr:colOff>485775</xdr:colOff>
      <xdr:row>50</xdr:row>
      <xdr:rowOff>104775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D8A2911-38C5-8983-E1C1-6E548021DC83}"/>
            </a:ext>
            <a:ext uri="{147F2762-F138-4A5C-976F-8EAC2B608ADB}">
              <a16:predDERef xmlns:a16="http://schemas.microsoft.com/office/drawing/2014/main" pred="{A681807A-BC45-4C0B-BFA2-56C993B36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66675</xdr:colOff>
      <xdr:row>5</xdr:row>
      <xdr:rowOff>142875</xdr:rowOff>
    </xdr:from>
    <xdr:to>
      <xdr:col>6</xdr:col>
      <xdr:colOff>552450</xdr:colOff>
      <xdr:row>11</xdr:row>
      <xdr:rowOff>114300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C76629D7-2339-A43C-E125-5C4984A6DB7A}"/>
            </a:ext>
            <a:ext uri="{147F2762-F138-4A5C-976F-8EAC2B608ADB}">
              <a16:predDERef xmlns:a16="http://schemas.microsoft.com/office/drawing/2014/main" pred="{3D8A2911-38C5-8983-E1C1-6E548021DC83}"/>
            </a:ext>
          </a:extLst>
        </xdr:cNvPr>
        <xdr:cNvSpPr/>
      </xdr:nvSpPr>
      <xdr:spPr>
        <a:xfrm>
          <a:off x="2028825" y="1314450"/>
          <a:ext cx="4114800" cy="1323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85725</xdr:colOff>
      <xdr:row>9</xdr:row>
      <xdr:rowOff>152400</xdr:rowOff>
    </xdr:from>
    <xdr:to>
      <xdr:col>5</xdr:col>
      <xdr:colOff>114300</xdr:colOff>
      <xdr:row>11</xdr:row>
      <xdr:rowOff>85725</xdr:rowOff>
    </xdr:to>
    <xdr:sp macro="" textlink="">
      <xdr:nvSpPr>
        <xdr:cNvPr id="30" name="Fluxograma: Terminação 29">
          <a:extLst>
            <a:ext uri="{FF2B5EF4-FFF2-40B4-BE49-F238E27FC236}">
              <a16:creationId xmlns:a16="http://schemas.microsoft.com/office/drawing/2014/main" id="{24D9AF68-DAAE-BAEF-0A23-F0DA38763003}"/>
            </a:ext>
            <a:ext uri="{147F2762-F138-4A5C-976F-8EAC2B608ADB}">
              <a16:predDERef xmlns:a16="http://schemas.microsoft.com/office/drawing/2014/main" pred="{C76629D7-2339-A43C-E125-5C4984A6DB7A}"/>
            </a:ext>
          </a:extLst>
        </xdr:cNvPr>
        <xdr:cNvSpPr/>
      </xdr:nvSpPr>
      <xdr:spPr>
        <a:xfrm>
          <a:off x="3543300" y="2295525"/>
          <a:ext cx="1066800" cy="323850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1276350</xdr:colOff>
      <xdr:row>5</xdr:row>
      <xdr:rowOff>171450</xdr:rowOff>
    </xdr:from>
    <xdr:to>
      <xdr:col>11</xdr:col>
      <xdr:colOff>857250</xdr:colOff>
      <xdr:row>11</xdr:row>
      <xdr:rowOff>142875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F7144898-A5BB-496D-9A4D-A0C8B2E8FBA0}"/>
            </a:ext>
            <a:ext uri="{147F2762-F138-4A5C-976F-8EAC2B608ADB}">
              <a16:predDERef xmlns:a16="http://schemas.microsoft.com/office/drawing/2014/main" pred="{24D9AF68-DAAE-BAEF-0A23-F0DA38763003}"/>
            </a:ext>
          </a:extLst>
        </xdr:cNvPr>
        <xdr:cNvSpPr/>
      </xdr:nvSpPr>
      <xdr:spPr>
        <a:xfrm>
          <a:off x="7162800" y="1343025"/>
          <a:ext cx="4410075" cy="1333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742950</xdr:colOff>
      <xdr:row>9</xdr:row>
      <xdr:rowOff>133350</xdr:rowOff>
    </xdr:from>
    <xdr:to>
      <xdr:col>10</xdr:col>
      <xdr:colOff>57150</xdr:colOff>
      <xdr:row>11</xdr:row>
      <xdr:rowOff>66675</xdr:rowOff>
    </xdr:to>
    <xdr:sp macro="" textlink="">
      <xdr:nvSpPr>
        <xdr:cNvPr id="32" name="Fluxograma: Terminação 31">
          <a:extLst>
            <a:ext uri="{FF2B5EF4-FFF2-40B4-BE49-F238E27FC236}">
              <a16:creationId xmlns:a16="http://schemas.microsoft.com/office/drawing/2014/main" id="{99EF6FBC-2E0F-4EDF-B7B0-9937651745F3}"/>
            </a:ext>
            <a:ext uri="{147F2762-F138-4A5C-976F-8EAC2B608ADB}">
              <a16:predDERef xmlns:a16="http://schemas.microsoft.com/office/drawing/2014/main" pred="{F7144898-A5BB-496D-9A4D-A0C8B2E8FBA0}"/>
            </a:ext>
          </a:extLst>
        </xdr:cNvPr>
        <xdr:cNvSpPr/>
      </xdr:nvSpPr>
      <xdr:spPr>
        <a:xfrm>
          <a:off x="9010650" y="2276475"/>
          <a:ext cx="1066800" cy="323850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600075</xdr:colOff>
      <xdr:row>6</xdr:row>
      <xdr:rowOff>28575</xdr:rowOff>
    </xdr:from>
    <xdr:to>
      <xdr:col>19</xdr:col>
      <xdr:colOff>447675</xdr:colOff>
      <xdr:row>12</xdr:row>
      <xdr:rowOff>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681AA1FA-BFA6-457F-A2E3-E04D75955001}"/>
            </a:ext>
            <a:ext uri="{147F2762-F138-4A5C-976F-8EAC2B608ADB}">
              <a16:predDERef xmlns:a16="http://schemas.microsoft.com/office/drawing/2014/main" pred="{99EF6FBC-2E0F-4EDF-B7B0-9937651745F3}"/>
            </a:ext>
          </a:extLst>
        </xdr:cNvPr>
        <xdr:cNvSpPr/>
      </xdr:nvSpPr>
      <xdr:spPr>
        <a:xfrm>
          <a:off x="12687300" y="1390650"/>
          <a:ext cx="4743450" cy="1333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14</xdr:col>
      <xdr:colOff>542925</xdr:colOff>
      <xdr:row>9</xdr:row>
      <xdr:rowOff>142875</xdr:rowOff>
    </xdr:from>
    <xdr:to>
      <xdr:col>16</xdr:col>
      <xdr:colOff>390525</xdr:colOff>
      <xdr:row>11</xdr:row>
      <xdr:rowOff>76200</xdr:rowOff>
    </xdr:to>
    <xdr:sp macro="" textlink="">
      <xdr:nvSpPr>
        <xdr:cNvPr id="34" name="Fluxograma: Terminação 33">
          <a:extLst>
            <a:ext uri="{FF2B5EF4-FFF2-40B4-BE49-F238E27FC236}">
              <a16:creationId xmlns:a16="http://schemas.microsoft.com/office/drawing/2014/main" id="{A976C8C3-8131-4234-9321-1D0848EFB0D8}"/>
            </a:ext>
            <a:ext uri="{147F2762-F138-4A5C-976F-8EAC2B608ADB}">
              <a16:predDERef xmlns:a16="http://schemas.microsoft.com/office/drawing/2014/main" pred="{681AA1FA-BFA6-457F-A2E3-E04D75955001}"/>
            </a:ext>
          </a:extLst>
        </xdr:cNvPr>
        <xdr:cNvSpPr/>
      </xdr:nvSpPr>
      <xdr:spPr>
        <a:xfrm>
          <a:off x="14478000" y="2286000"/>
          <a:ext cx="1066800" cy="323850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038648958332" createdVersion="8" refreshedVersion="8" minRefreshableVersion="3" recordCount="100" xr:uid="{7E2DE44E-3EC5-43C9-AE8D-F5EC20EE2741}">
  <cacheSource type="worksheet">
    <worksheetSource ref="A1:O101" sheet="Vendas"/>
  </cacheSource>
  <cacheFields count="15">
    <cacheField name="ID_Venda" numFmtId="0">
      <sharedItems count="100">
        <s v="V001"/>
        <s v="V002"/>
        <s v="V003"/>
        <s v="V004"/>
        <s v="V005"/>
        <s v="V006"/>
        <s v="V007"/>
        <s v="V008"/>
        <s v="V009"/>
        <s v="V010"/>
        <s v="V011"/>
        <s v="V012"/>
        <s v="V013"/>
        <s v="V014"/>
        <s v="V015"/>
        <s v="V016"/>
        <s v="V017"/>
        <s v="V018"/>
        <s v="V019"/>
        <s v="V020"/>
        <s v="V021"/>
        <s v="V022"/>
        <s v="V023"/>
        <s v="V024"/>
        <s v="V025"/>
        <s v="V026"/>
        <s v="V027"/>
        <s v="V028"/>
        <s v="V029"/>
        <s v="V030"/>
        <s v="V031"/>
        <s v="V032"/>
        <s v="V033"/>
        <s v="V034"/>
        <s v="V035"/>
        <s v="V036"/>
        <s v="V037"/>
        <s v="V038"/>
        <s v="V039"/>
        <s v="V040"/>
        <s v="V041"/>
        <s v="V042"/>
        <s v="V043"/>
        <s v="V044"/>
        <s v="V045"/>
        <s v="V046"/>
        <s v="V047"/>
        <s v="V048"/>
        <s v="V049"/>
        <s v="V050"/>
        <s v="V051"/>
        <s v="V052"/>
        <s v="V053"/>
        <s v="V054"/>
        <s v="V055"/>
        <s v="V056"/>
        <s v="V057"/>
        <s v="V058"/>
        <s v="V059"/>
        <s v="V060"/>
        <s v="V061"/>
        <s v="V062"/>
        <s v="V063"/>
        <s v="V064"/>
        <s v="V065"/>
        <s v="V066"/>
        <s v="V067"/>
        <s v="V068"/>
        <s v="V069"/>
        <s v="V070"/>
        <s v="V071"/>
        <s v="V072"/>
        <s v="V073"/>
        <s v="V074"/>
        <s v="V075"/>
        <s v="V076"/>
        <s v="V077"/>
        <s v="V078"/>
        <s v="V079"/>
        <s v="V080"/>
        <s v="V081"/>
        <s v="V082"/>
        <s v="V083"/>
        <s v="V084"/>
        <s v="V085"/>
        <s v="V086"/>
        <s v="V087"/>
        <s v="V088"/>
        <s v="V089"/>
        <s v="V090"/>
        <s v="V091"/>
        <s v="V092"/>
        <s v="V093"/>
        <s v="V094"/>
        <s v="V095"/>
        <s v="V096"/>
        <s v="V097"/>
        <s v="V098"/>
        <s v="V099"/>
        <s v="V100"/>
      </sharedItems>
    </cacheField>
    <cacheField name="Data" numFmtId="0">
      <sharedItems/>
    </cacheField>
    <cacheField name="Vendedor" numFmtId="0">
      <sharedItems/>
    </cacheField>
    <cacheField name="Região" numFmtId="0">
      <sharedItems/>
    </cacheField>
    <cacheField name="Produto" numFmtId="0">
      <sharedItems count="10">
        <s v="Monitor 27"/>
        <s v="Monitor 24"/>
        <s v="Notebook Lenovo"/>
        <s v="Headset"/>
        <s v="Notebook Dell"/>
        <s v="SSD 1TB"/>
        <s v="Mouse Gamer"/>
        <s v="Teclado Mecânico"/>
        <s v="Caixa de Som"/>
        <s v="Webcam HD"/>
      </sharedItems>
    </cacheField>
    <cacheField name="Categoria" numFmtId="0">
      <sharedItems count="6">
        <s v="Monitores"/>
        <s v="Eletrônicos"/>
        <s v="Áudio"/>
        <s v="Armazenamento"/>
        <s v="Periféricos"/>
        <s v="Acessórios"/>
      </sharedItems>
    </cacheField>
    <cacheField name="Quantidade" numFmtId="0">
      <sharedItems containsSemiMixedTypes="0" containsString="0" containsNumber="1" containsInteger="1" minValue="1" maxValue="12" count="12">
        <n v="6"/>
        <n v="7"/>
        <n v="5"/>
        <n v="11"/>
        <n v="10"/>
        <n v="1"/>
        <n v="3"/>
        <n v="9"/>
        <n v="4"/>
        <n v="2"/>
        <n v="12"/>
        <n v="8"/>
      </sharedItems>
    </cacheField>
    <cacheField name="Preço_Unitário" numFmtId="164">
      <sharedItems containsSemiMixedTypes="0" containsString="0" containsNumber="1" minValue="166.85" maxValue="4502.8500000000004"/>
    </cacheField>
    <cacheField name="Desconto_%" numFmtId="0">
      <sharedItems containsSemiMixedTypes="0" containsString="0" containsNumber="1" minValue="0" maxValue="0.15"/>
    </cacheField>
    <cacheField name="Receita" numFmtId="164">
      <sharedItems containsSemiMixedTypes="0" containsString="0" containsNumber="1" minValue="188.7" maxValue="48630.78"/>
    </cacheField>
    <cacheField name="Custo" numFmtId="164">
      <sharedItems containsSemiMixedTypes="0" containsString="0" containsNumber="1" containsInteger="1" minValue="90" maxValue="38400"/>
    </cacheField>
    <cacheField name="Lucro" numFmtId="164">
      <sharedItems containsSemiMixedTypes="0" containsString="0" containsNumber="1" minValue="98.7" maxValue="12519.76"/>
    </cacheField>
    <cacheField name="Forma_Pagamento" numFmtId="0">
      <sharedItems count="5">
        <s v="Boleto"/>
        <s v="Transferência"/>
        <s v="Pix"/>
        <s v="Débito"/>
        <s v="Cartão"/>
      </sharedItems>
    </cacheField>
    <cacheField name="Canal_Venda" numFmtId="0">
      <sharedItems/>
    </cacheField>
    <cacheField name="Cliente" numFmtId="0">
      <sharedItems/>
    </cacheField>
  </cacheFields>
  <extLst>
    <ext xmlns:x14="http://schemas.microsoft.com/office/spreadsheetml/2009/9/main" uri="{725AE2AE-9491-48be-B2B4-4EB974FC3084}">
      <x14:pivotCacheDefinition pivotCacheId="7290779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14/08/2025"/>
    <s v="Maria"/>
    <s v="Norte"/>
    <x v="0"/>
    <x v="0"/>
    <x v="0"/>
    <n v="1561.11"/>
    <n v="0.1"/>
    <n v="8429.99"/>
    <n v="6300"/>
    <n v="2129.9899999999998"/>
    <x v="0"/>
    <s v="Online"/>
    <s v="StartUp One"/>
  </r>
  <r>
    <x v="1"/>
    <s v="13/10/2025"/>
    <s v="Carlos"/>
    <s v="Sul"/>
    <x v="1"/>
    <x v="0"/>
    <x v="1"/>
    <n v="946.49"/>
    <n v="0"/>
    <n v="6625.43"/>
    <n v="4550"/>
    <n v="2075.4299999999998"/>
    <x v="1"/>
    <s v="Marketplace"/>
    <s v="Cliente Avulso"/>
  </r>
  <r>
    <x v="2"/>
    <s v="11/03/2025"/>
    <s v="Fernanda"/>
    <s v="Norte"/>
    <x v="1"/>
    <x v="0"/>
    <x v="0"/>
    <n v="908.38"/>
    <n v="0.05"/>
    <n v="5177.7700000000004"/>
    <n v="3900"/>
    <n v="1277.77"/>
    <x v="1"/>
    <s v="Marketplace"/>
    <s v="Mercado Alpha"/>
  </r>
  <r>
    <x v="3"/>
    <s v="16/08/2025"/>
    <s v="Carlos"/>
    <s v="Sul"/>
    <x v="2"/>
    <x v="1"/>
    <x v="2"/>
    <n v="3799.58"/>
    <n v="0"/>
    <n v="18997.900000000001"/>
    <n v="15000"/>
    <n v="3997.9"/>
    <x v="2"/>
    <s v="Marketplace"/>
    <s v="Mercado Alpha"/>
  </r>
  <r>
    <x v="4"/>
    <s v="23/08/2025"/>
    <s v="Pedro"/>
    <s v="Sudeste"/>
    <x v="3"/>
    <x v="2"/>
    <x v="3"/>
    <n v="364.86"/>
    <n v="0.15"/>
    <n v="3411.44"/>
    <n v="2420"/>
    <n v="991.44"/>
    <x v="3"/>
    <s v="Marketplace"/>
    <s v="Tech Solutions"/>
  </r>
  <r>
    <x v="5"/>
    <s v="09/04/2026"/>
    <s v="Fernanda"/>
    <s v="Centro-Oeste"/>
    <x v="4"/>
    <x v="1"/>
    <x v="0"/>
    <n v="4356.46"/>
    <n v="0.1"/>
    <n v="23524.880000000001"/>
    <n v="19200"/>
    <n v="4324.88"/>
    <x v="4"/>
    <s v="Online"/>
    <s v="Lucas Lima"/>
  </r>
  <r>
    <x v="6"/>
    <s v="06/11/2025"/>
    <s v="Ana"/>
    <s v="Sudeste"/>
    <x v="5"/>
    <x v="3"/>
    <x v="4"/>
    <n v="558.44000000000005"/>
    <n v="0"/>
    <n v="5584.4"/>
    <n v="3500"/>
    <n v="2084.4"/>
    <x v="4"/>
    <s v="Marketplace"/>
    <s v="Cliente Avulso"/>
  </r>
  <r>
    <x v="7"/>
    <s v="09/01/2025"/>
    <s v="Maria"/>
    <s v="Norte"/>
    <x v="6"/>
    <x v="4"/>
    <x v="2"/>
    <n v="179.6"/>
    <n v="0"/>
    <n v="898"/>
    <n v="450"/>
    <n v="448"/>
    <x v="3"/>
    <s v="Marketplace"/>
    <s v="João Silva"/>
  </r>
  <r>
    <x v="8"/>
    <s v="01/08/2025"/>
    <s v="Carlos"/>
    <s v="Sudeste"/>
    <x v="2"/>
    <x v="1"/>
    <x v="4"/>
    <n v="3681.83"/>
    <n v="0.1"/>
    <n v="33136.47"/>
    <n v="30000"/>
    <n v="3136.47"/>
    <x v="2"/>
    <s v="Online"/>
    <s v="Empresa XP"/>
  </r>
  <r>
    <x v="9"/>
    <s v="26/03/2026"/>
    <s v="Lucas"/>
    <s v="Norte"/>
    <x v="7"/>
    <x v="4"/>
    <x v="5"/>
    <n v="317.77999999999997"/>
    <n v="0.05"/>
    <n v="301.89"/>
    <n v="180"/>
    <n v="121.89"/>
    <x v="2"/>
    <s v="Loja Física"/>
    <s v="Maria Souza"/>
  </r>
  <r>
    <x v="10"/>
    <s v="04/08/2025"/>
    <s v="Carlos"/>
    <s v="Centro-Oeste"/>
    <x v="1"/>
    <x v="0"/>
    <x v="1"/>
    <n v="1015.15"/>
    <n v="0.1"/>
    <n v="6395.45"/>
    <n v="4550"/>
    <n v="1845.45"/>
    <x v="4"/>
    <s v="Loja Física"/>
    <s v="Cliente Avulso"/>
  </r>
  <r>
    <x v="11"/>
    <s v="19/08/2025"/>
    <s v="Lucas"/>
    <s v="Sudeste"/>
    <x v="0"/>
    <x v="0"/>
    <x v="6"/>
    <n v="1580.31"/>
    <n v="0.05"/>
    <n v="4503.88"/>
    <n v="3150"/>
    <n v="1353.88"/>
    <x v="2"/>
    <s v="Loja Física"/>
    <s v="StartUp One"/>
  </r>
  <r>
    <x v="12"/>
    <s v="09/09/2025"/>
    <s v="Fernanda"/>
    <s v="Nordeste"/>
    <x v="3"/>
    <x v="2"/>
    <x v="3"/>
    <n v="382"/>
    <n v="0"/>
    <n v="4202"/>
    <n v="2420"/>
    <n v="1782"/>
    <x v="2"/>
    <s v="Marketplace"/>
    <s v="Cliente Avulso"/>
  </r>
  <r>
    <x v="13"/>
    <s v="24/03/2025"/>
    <s v="Ana"/>
    <s v="Centro-Oeste"/>
    <x v="5"/>
    <x v="3"/>
    <x v="7"/>
    <n v="525.79"/>
    <n v="0.05"/>
    <n v="4495.5"/>
    <n v="3150"/>
    <n v="1345.5"/>
    <x v="0"/>
    <s v="Loja Física"/>
    <s v="Mercado Alpha"/>
  </r>
  <r>
    <x v="14"/>
    <s v="23/08/2025"/>
    <s v="Fernanda"/>
    <s v="Norte"/>
    <x v="6"/>
    <x v="4"/>
    <x v="1"/>
    <n v="186.97"/>
    <n v="0.15"/>
    <n v="1112.47"/>
    <n v="630"/>
    <n v="482.47"/>
    <x v="0"/>
    <s v="Online"/>
    <s v="Mercado Alpha"/>
  </r>
  <r>
    <x v="15"/>
    <s v="21/04/2025"/>
    <s v="Fernanda"/>
    <s v="Centro-Oeste"/>
    <x v="2"/>
    <x v="1"/>
    <x v="7"/>
    <n v="3588.51"/>
    <n v="0.1"/>
    <n v="29066.93"/>
    <n v="27000"/>
    <n v="2066.9299999999998"/>
    <x v="3"/>
    <s v="Marketplace"/>
    <s v="Mercado Alpha"/>
  </r>
  <r>
    <x v="16"/>
    <s v="30/10/2025"/>
    <s v="Pedro"/>
    <s v="Nordeste"/>
    <x v="5"/>
    <x v="3"/>
    <x v="3"/>
    <n v="491.34"/>
    <n v="0"/>
    <n v="5404.74"/>
    <n v="3850"/>
    <n v="1554.74"/>
    <x v="0"/>
    <s v="Online"/>
    <s v="Mercado Alpha"/>
  </r>
  <r>
    <x v="17"/>
    <s v="27/02/2026"/>
    <s v="Carlos"/>
    <s v="Sudeste"/>
    <x v="0"/>
    <x v="0"/>
    <x v="0"/>
    <n v="1554.77"/>
    <n v="0.1"/>
    <n v="8395.76"/>
    <n v="6300"/>
    <n v="2095.7600000000002"/>
    <x v="1"/>
    <s v="Online"/>
    <s v="StartUp One"/>
  </r>
  <r>
    <x v="18"/>
    <s v="20/05/2025"/>
    <s v="Ana"/>
    <s v="Norte"/>
    <x v="0"/>
    <x v="0"/>
    <x v="6"/>
    <n v="1589.92"/>
    <n v="0.1"/>
    <n v="4292.78"/>
    <n v="3150"/>
    <n v="1142.78"/>
    <x v="4"/>
    <s v="Online"/>
    <s v="Maria Souza"/>
  </r>
  <r>
    <x v="19"/>
    <s v="23/10/2025"/>
    <s v="Fernanda"/>
    <s v="Norte"/>
    <x v="4"/>
    <x v="1"/>
    <x v="0"/>
    <n v="4028.49"/>
    <n v="0.05"/>
    <n v="22962.39"/>
    <n v="19200"/>
    <n v="3762.39"/>
    <x v="3"/>
    <s v="Online"/>
    <s v="Loja Prime"/>
  </r>
  <r>
    <x v="20"/>
    <s v="16/06/2025"/>
    <s v="Carlos"/>
    <s v="Sul"/>
    <x v="2"/>
    <x v="1"/>
    <x v="6"/>
    <n v="4224.7299999999996"/>
    <n v="0.1"/>
    <n v="11406.77"/>
    <n v="9000"/>
    <n v="2406.77"/>
    <x v="0"/>
    <s v="Online"/>
    <s v="Maria Souza"/>
  </r>
  <r>
    <x v="21"/>
    <s v="31/01/2026"/>
    <s v="Ana"/>
    <s v="Sul"/>
    <x v="2"/>
    <x v="1"/>
    <x v="1"/>
    <n v="3598.62"/>
    <n v="0"/>
    <n v="25190.34"/>
    <n v="21000"/>
    <n v="4190.34"/>
    <x v="2"/>
    <s v="Marketplace"/>
    <s v="Comercial Brasil"/>
  </r>
  <r>
    <x v="22"/>
    <s v="22/02/2026"/>
    <s v="Fernanda"/>
    <s v="Centro-Oeste"/>
    <x v="0"/>
    <x v="0"/>
    <x v="8"/>
    <n v="1435.08"/>
    <n v="0"/>
    <n v="5740.32"/>
    <n v="4200"/>
    <n v="1540.32"/>
    <x v="1"/>
    <s v="Marketplace"/>
    <s v="Tech Solutions"/>
  </r>
  <r>
    <x v="23"/>
    <s v="25/08/2025"/>
    <s v="Carlos"/>
    <s v="Sudeste"/>
    <x v="7"/>
    <x v="4"/>
    <x v="5"/>
    <n v="343.85"/>
    <n v="0.1"/>
    <n v="309.47000000000003"/>
    <n v="180"/>
    <n v="129.47"/>
    <x v="2"/>
    <s v="Loja Física"/>
    <s v="Maria Souza"/>
  </r>
  <r>
    <x v="24"/>
    <s v="26/03/2025"/>
    <s v="Lucas"/>
    <s v="Norte"/>
    <x v="5"/>
    <x v="3"/>
    <x v="9"/>
    <n v="534.70000000000005"/>
    <n v="0.15"/>
    <n v="908.99"/>
    <n v="700"/>
    <n v="208.99"/>
    <x v="3"/>
    <s v="Loja Física"/>
    <s v="Mercado Alpha"/>
  </r>
  <r>
    <x v="25"/>
    <s v="30/01/2025"/>
    <s v="Lucas"/>
    <s v="Norte"/>
    <x v="2"/>
    <x v="1"/>
    <x v="1"/>
    <n v="3735.87"/>
    <n v="0.1"/>
    <n v="23535.98"/>
    <n v="21000"/>
    <n v="2535.98"/>
    <x v="1"/>
    <s v="Loja Física"/>
    <s v="Mercado Alpha"/>
  </r>
  <r>
    <x v="26"/>
    <s v="16/02/2026"/>
    <s v="Maria"/>
    <s v="Sudeste"/>
    <x v="8"/>
    <x v="2"/>
    <x v="9"/>
    <n v="433.78"/>
    <n v="0"/>
    <n v="867.56"/>
    <n v="600"/>
    <n v="267.56"/>
    <x v="2"/>
    <s v="Online"/>
    <s v="Empresa XP"/>
  </r>
  <r>
    <x v="27"/>
    <s v="19/02/2026"/>
    <s v="Fernanda"/>
    <s v="Nordeste"/>
    <x v="4"/>
    <x v="1"/>
    <x v="9"/>
    <n v="4416.18"/>
    <n v="0"/>
    <n v="8832.36"/>
    <n v="6400"/>
    <n v="2432.36"/>
    <x v="0"/>
    <s v="Loja Física"/>
    <s v="Tech Solutions"/>
  </r>
  <r>
    <x v="28"/>
    <s v="04/09/2025"/>
    <s v="Pedro"/>
    <s v="Sul"/>
    <x v="4"/>
    <x v="1"/>
    <x v="5"/>
    <n v="4406.8100000000004"/>
    <n v="0"/>
    <n v="4406.8100000000004"/>
    <n v="3200"/>
    <n v="1206.81"/>
    <x v="1"/>
    <s v="Online"/>
    <s v="Empresa XP"/>
  </r>
  <r>
    <x v="29"/>
    <s v="02/10/2025"/>
    <s v="Maria"/>
    <s v="Centro-Oeste"/>
    <x v="3"/>
    <x v="2"/>
    <x v="9"/>
    <n v="363.63"/>
    <n v="0.1"/>
    <n v="654.53"/>
    <n v="440"/>
    <n v="214.53"/>
    <x v="3"/>
    <s v="Marketplace"/>
    <s v="StartUp One"/>
  </r>
  <r>
    <x v="30"/>
    <s v="28/09/2025"/>
    <s v="Fernanda"/>
    <s v="Sul"/>
    <x v="1"/>
    <x v="0"/>
    <x v="4"/>
    <n v="874.33"/>
    <n v="0.15"/>
    <n v="7431.81"/>
    <n v="6500"/>
    <n v="931.81"/>
    <x v="2"/>
    <s v="Loja Física"/>
    <s v="Mercado Alpha"/>
  </r>
  <r>
    <x v="31"/>
    <s v="27/09/2025"/>
    <s v="Carlos"/>
    <s v="Norte"/>
    <x v="9"/>
    <x v="5"/>
    <x v="8"/>
    <n v="258.89999999999998"/>
    <n v="0.05"/>
    <n v="983.82"/>
    <n v="560"/>
    <n v="423.82"/>
    <x v="1"/>
    <s v="Online"/>
    <s v="Maria Souza"/>
  </r>
  <r>
    <x v="32"/>
    <s v="14/07/2025"/>
    <s v="Fernanda"/>
    <s v="Norte"/>
    <x v="2"/>
    <x v="1"/>
    <x v="8"/>
    <n v="3915.29"/>
    <n v="0.15"/>
    <n v="13311.99"/>
    <n v="12000"/>
    <n v="1311.99"/>
    <x v="2"/>
    <s v="Marketplace"/>
    <s v="Comercial Brasil"/>
  </r>
  <r>
    <x v="33"/>
    <s v="20/06/2025"/>
    <s v="Fernanda"/>
    <s v="Sul"/>
    <x v="7"/>
    <x v="4"/>
    <x v="9"/>
    <n v="313.95999999999998"/>
    <n v="0.1"/>
    <n v="565.13"/>
    <n v="360"/>
    <n v="205.13"/>
    <x v="3"/>
    <s v="Loja Física"/>
    <s v="João Silva"/>
  </r>
  <r>
    <x v="34"/>
    <s v="16/01/2026"/>
    <s v="Fernanda"/>
    <s v="Centro-Oeste"/>
    <x v="8"/>
    <x v="2"/>
    <x v="0"/>
    <n v="484.68"/>
    <n v="0.1"/>
    <n v="2617.27"/>
    <n v="1800"/>
    <n v="817.27"/>
    <x v="0"/>
    <s v="Marketplace"/>
    <s v="Maria Souza"/>
  </r>
  <r>
    <x v="35"/>
    <s v="29/11/2025"/>
    <s v="Carlos"/>
    <s v="Nordeste"/>
    <x v="4"/>
    <x v="1"/>
    <x v="10"/>
    <n v="4184.53"/>
    <n v="0.15"/>
    <n v="42682.21"/>
    <n v="38400"/>
    <n v="4282.21"/>
    <x v="2"/>
    <s v="Online"/>
    <s v="Tech Solutions"/>
  </r>
  <r>
    <x v="36"/>
    <s v="10/03/2026"/>
    <s v="Lucas"/>
    <s v="Centro-Oeste"/>
    <x v="5"/>
    <x v="3"/>
    <x v="2"/>
    <n v="492.47"/>
    <n v="0.05"/>
    <n v="2339.23"/>
    <n v="1750"/>
    <n v="589.23"/>
    <x v="0"/>
    <s v="Online"/>
    <s v="Loja Prime"/>
  </r>
  <r>
    <x v="37"/>
    <s v="27/11/2025"/>
    <s v="Maria"/>
    <s v="Norte"/>
    <x v="4"/>
    <x v="1"/>
    <x v="9"/>
    <n v="4300.18"/>
    <n v="0.05"/>
    <n v="8170.34"/>
    <n v="6400"/>
    <n v="1770.34"/>
    <x v="0"/>
    <s v="Loja Física"/>
    <s v="Empresa XP"/>
  </r>
  <r>
    <x v="38"/>
    <s v="08/12/2025"/>
    <s v="Maria"/>
    <s v="Nordeste"/>
    <x v="7"/>
    <x v="4"/>
    <x v="9"/>
    <n v="302.12"/>
    <n v="0"/>
    <n v="604.24"/>
    <n v="360"/>
    <n v="244.24"/>
    <x v="0"/>
    <s v="Online"/>
    <s v="Empresa XP"/>
  </r>
  <r>
    <x v="39"/>
    <s v="03/03/2026"/>
    <s v="Ana"/>
    <s v="Norte"/>
    <x v="6"/>
    <x v="4"/>
    <x v="0"/>
    <n v="169.38"/>
    <n v="0.15"/>
    <n v="863.84"/>
    <n v="540"/>
    <n v="323.83999999999997"/>
    <x v="2"/>
    <s v="Loja Física"/>
    <s v="Mercado Alpha"/>
  </r>
  <r>
    <x v="40"/>
    <s v="31/07/2025"/>
    <s v="Fernanda"/>
    <s v="Centro-Oeste"/>
    <x v="8"/>
    <x v="2"/>
    <x v="6"/>
    <n v="419.5"/>
    <n v="0.1"/>
    <n v="1132.6500000000001"/>
    <n v="900"/>
    <n v="232.65"/>
    <x v="2"/>
    <s v="Marketplace"/>
    <s v="João Silva"/>
  </r>
  <r>
    <x v="41"/>
    <s v="05/10/2025"/>
    <s v="Fernanda"/>
    <s v="Norte"/>
    <x v="4"/>
    <x v="1"/>
    <x v="4"/>
    <n v="4076.79"/>
    <n v="0.1"/>
    <n v="36691.11"/>
    <n v="32000"/>
    <n v="4691.1099999999997"/>
    <x v="2"/>
    <s v="Online"/>
    <s v="Tech Solutions"/>
  </r>
  <r>
    <x v="42"/>
    <s v="28/04/2025"/>
    <s v="Fernanda"/>
    <s v="Centro-Oeste"/>
    <x v="9"/>
    <x v="5"/>
    <x v="0"/>
    <n v="254.96"/>
    <n v="0.15"/>
    <n v="1300.3"/>
    <n v="840"/>
    <n v="460.3"/>
    <x v="3"/>
    <s v="Online"/>
    <s v="Loja Prime"/>
  </r>
  <r>
    <x v="43"/>
    <s v="10/04/2025"/>
    <s v="Lucas"/>
    <s v="Sudeste"/>
    <x v="0"/>
    <x v="0"/>
    <x v="1"/>
    <n v="1546.96"/>
    <n v="0"/>
    <n v="10828.72"/>
    <n v="7350"/>
    <n v="3478.72"/>
    <x v="4"/>
    <s v="Marketplace"/>
    <s v="Maria Souza"/>
  </r>
  <r>
    <x v="44"/>
    <s v="01/01/2025"/>
    <s v="Fernanda"/>
    <s v="Nordeste"/>
    <x v="6"/>
    <x v="4"/>
    <x v="4"/>
    <n v="169.2"/>
    <n v="0"/>
    <n v="1692"/>
    <n v="900"/>
    <n v="792"/>
    <x v="0"/>
    <s v="Marketplace"/>
    <s v="Mercado Alpha"/>
  </r>
  <r>
    <x v="45"/>
    <s v="05/04/2025"/>
    <s v="Carlos"/>
    <s v="Sudeste"/>
    <x v="6"/>
    <x v="4"/>
    <x v="0"/>
    <n v="166.85"/>
    <n v="0.05"/>
    <n v="951.04"/>
    <n v="540"/>
    <n v="411.04"/>
    <x v="0"/>
    <s v="Loja Física"/>
    <s v="Empresa XP"/>
  </r>
  <r>
    <x v="46"/>
    <s v="08/07/2025"/>
    <s v="Lucas"/>
    <s v="Sudeste"/>
    <x v="7"/>
    <x v="4"/>
    <x v="4"/>
    <n v="324.63"/>
    <n v="0"/>
    <n v="3246.3"/>
    <n v="1800"/>
    <n v="1446.3"/>
    <x v="0"/>
    <s v="Loja Física"/>
    <s v="Tech Solutions"/>
  </r>
  <r>
    <x v="47"/>
    <s v="14/01/2025"/>
    <s v="Fernanda"/>
    <s v="Nordeste"/>
    <x v="4"/>
    <x v="1"/>
    <x v="4"/>
    <n v="4126.24"/>
    <n v="0"/>
    <n v="41262.400000000001"/>
    <n v="32000"/>
    <n v="9262.4"/>
    <x v="1"/>
    <s v="Loja Física"/>
    <s v="Tech Solutions"/>
  </r>
  <r>
    <x v="48"/>
    <s v="14/12/2025"/>
    <s v="Carlos"/>
    <s v="Sul"/>
    <x v="4"/>
    <x v="1"/>
    <x v="10"/>
    <n v="4502.8500000000004"/>
    <n v="0.1"/>
    <n v="48630.78"/>
    <n v="38400"/>
    <n v="10230.780000000001"/>
    <x v="1"/>
    <s v="Loja Física"/>
    <s v="Mercado Alpha"/>
  </r>
  <r>
    <x v="49"/>
    <s v="14/08/2025"/>
    <s v="Carlos"/>
    <s v="Sul"/>
    <x v="5"/>
    <x v="3"/>
    <x v="4"/>
    <n v="480.67"/>
    <n v="0"/>
    <n v="4806.7"/>
    <n v="3500"/>
    <n v="1306.7"/>
    <x v="0"/>
    <s v="Marketplace"/>
    <s v="Comercial Brasil"/>
  </r>
  <r>
    <x v="50"/>
    <s v="24/01/2026"/>
    <s v="Ana"/>
    <s v="Sul"/>
    <x v="5"/>
    <x v="3"/>
    <x v="10"/>
    <n v="535.45000000000005"/>
    <n v="0.15"/>
    <n v="5461.59"/>
    <n v="4200"/>
    <n v="1261.5899999999999"/>
    <x v="4"/>
    <s v="Loja Física"/>
    <s v="Tech Solutions"/>
  </r>
  <r>
    <x v="51"/>
    <s v="22/01/2025"/>
    <s v="Fernanda"/>
    <s v="Centro-Oeste"/>
    <x v="4"/>
    <x v="1"/>
    <x v="5"/>
    <n v="4099.03"/>
    <n v="0.15"/>
    <n v="3484.18"/>
    <n v="3200"/>
    <n v="284.18"/>
    <x v="0"/>
    <s v="Marketplace"/>
    <s v="João Silva"/>
  </r>
  <r>
    <x v="52"/>
    <s v="31/05/2025"/>
    <s v="Fernanda"/>
    <s v="Norte"/>
    <x v="7"/>
    <x v="4"/>
    <x v="2"/>
    <n v="316.98"/>
    <n v="0"/>
    <n v="1584.9"/>
    <n v="900"/>
    <n v="684.9"/>
    <x v="0"/>
    <s v="Marketplace"/>
    <s v="StartUp One"/>
  </r>
  <r>
    <x v="53"/>
    <s v="26/02/2026"/>
    <s v="Carlos"/>
    <s v="Norte"/>
    <x v="0"/>
    <x v="0"/>
    <x v="2"/>
    <n v="1517.1"/>
    <n v="0"/>
    <n v="7585.5"/>
    <n v="5250"/>
    <n v="2335.5"/>
    <x v="3"/>
    <s v="Online"/>
    <s v="Loja Prime"/>
  </r>
  <r>
    <x v="54"/>
    <s v="30/04/2026"/>
    <s v="Fernanda"/>
    <s v="Norte"/>
    <x v="1"/>
    <x v="0"/>
    <x v="4"/>
    <n v="940.36"/>
    <n v="0"/>
    <n v="9403.6"/>
    <n v="6500"/>
    <n v="2903.6"/>
    <x v="3"/>
    <s v="Online"/>
    <s v="Tech Solutions"/>
  </r>
  <r>
    <x v="55"/>
    <s v="25/10/2025"/>
    <s v="Ana"/>
    <s v="Nordeste"/>
    <x v="4"/>
    <x v="1"/>
    <x v="1"/>
    <n v="3869.93"/>
    <n v="0"/>
    <n v="27089.51"/>
    <n v="22400"/>
    <n v="4689.51"/>
    <x v="1"/>
    <s v="Marketplace"/>
    <s v="StartUp One"/>
  </r>
  <r>
    <x v="56"/>
    <s v="25/12/2025"/>
    <s v="Ana"/>
    <s v="Sudeste"/>
    <x v="0"/>
    <x v="0"/>
    <x v="1"/>
    <n v="1514.04"/>
    <n v="0.15"/>
    <n v="9008.5400000000009"/>
    <n v="7350"/>
    <n v="1658.54"/>
    <x v="4"/>
    <s v="Loja Física"/>
    <s v="Empresa XP"/>
  </r>
  <r>
    <x v="57"/>
    <s v="23/03/2025"/>
    <s v="Maria"/>
    <s v="Norte"/>
    <x v="6"/>
    <x v="4"/>
    <x v="0"/>
    <n v="194.48"/>
    <n v="0"/>
    <n v="1166.8800000000001"/>
    <n v="540"/>
    <n v="626.88"/>
    <x v="3"/>
    <s v="Online"/>
    <s v="Lucas Lima"/>
  </r>
  <r>
    <x v="58"/>
    <s v="30/06/2025"/>
    <s v="Carlos"/>
    <s v="Norte"/>
    <x v="7"/>
    <x v="4"/>
    <x v="7"/>
    <n v="301.92"/>
    <n v="0"/>
    <n v="2717.28"/>
    <n v="1620"/>
    <n v="1097.28"/>
    <x v="4"/>
    <s v="Marketplace"/>
    <s v="Tech Solutions"/>
  </r>
  <r>
    <x v="59"/>
    <s v="08/11/2025"/>
    <s v="Pedro"/>
    <s v="Centro-Oeste"/>
    <x v="9"/>
    <x v="5"/>
    <x v="11"/>
    <n v="246.83"/>
    <n v="0"/>
    <n v="1974.64"/>
    <n v="1120"/>
    <n v="854.64"/>
    <x v="1"/>
    <s v="Marketplace"/>
    <s v="Mercado Alpha"/>
  </r>
  <r>
    <x v="60"/>
    <s v="12/03/2026"/>
    <s v="Lucas"/>
    <s v="Norte"/>
    <x v="4"/>
    <x v="1"/>
    <x v="3"/>
    <n v="4268.17"/>
    <n v="0.1"/>
    <n v="42254.879999999997"/>
    <n v="35200"/>
    <n v="7054.88"/>
    <x v="4"/>
    <s v="Loja Física"/>
    <s v="João Silva"/>
  </r>
  <r>
    <x v="61"/>
    <s v="11/03/2026"/>
    <s v="Pedro"/>
    <s v="Nordeste"/>
    <x v="3"/>
    <x v="2"/>
    <x v="0"/>
    <n v="337.33"/>
    <n v="0.15"/>
    <n v="1720.38"/>
    <n v="1320"/>
    <n v="400.38"/>
    <x v="2"/>
    <s v="Loja Física"/>
    <s v="Mercado Alpha"/>
  </r>
  <r>
    <x v="62"/>
    <s v="13/02/2026"/>
    <s v="Ana"/>
    <s v="Sul"/>
    <x v="7"/>
    <x v="4"/>
    <x v="10"/>
    <n v="322.06"/>
    <n v="0"/>
    <n v="3864.72"/>
    <n v="2160"/>
    <n v="1704.72"/>
    <x v="3"/>
    <s v="Online"/>
    <s v="Loja Prime"/>
  </r>
  <r>
    <x v="63"/>
    <s v="13/04/2026"/>
    <s v="Pedro"/>
    <s v="Sul"/>
    <x v="3"/>
    <x v="2"/>
    <x v="5"/>
    <n v="322.82"/>
    <n v="0"/>
    <n v="322.82"/>
    <n v="220"/>
    <n v="102.82"/>
    <x v="4"/>
    <s v="Marketplace"/>
    <s v="StartUp One"/>
  </r>
  <r>
    <x v="64"/>
    <s v="24/03/2025"/>
    <s v="Pedro"/>
    <s v="Nordeste"/>
    <x v="1"/>
    <x v="0"/>
    <x v="3"/>
    <n v="877.21"/>
    <n v="0.1"/>
    <n v="8684.3799999999992"/>
    <n v="7150"/>
    <n v="1534.38"/>
    <x v="2"/>
    <s v="Loja Física"/>
    <s v="João Silva"/>
  </r>
  <r>
    <x v="65"/>
    <s v="15/03/2026"/>
    <s v="Carlos"/>
    <s v="Sul"/>
    <x v="1"/>
    <x v="0"/>
    <x v="11"/>
    <n v="914.27"/>
    <n v="0.05"/>
    <n v="6948.45"/>
    <n v="5200"/>
    <n v="1748.45"/>
    <x v="1"/>
    <s v="Loja Física"/>
    <s v="Comercial Brasil"/>
  </r>
  <r>
    <x v="66"/>
    <s v="13/01/2026"/>
    <s v="Lucas"/>
    <s v="Nordeste"/>
    <x v="3"/>
    <x v="2"/>
    <x v="5"/>
    <n v="384.35"/>
    <n v="0.15"/>
    <n v="326.7"/>
    <n v="220"/>
    <n v="106.7"/>
    <x v="4"/>
    <s v="Marketplace"/>
    <s v="Tech Solutions"/>
  </r>
  <r>
    <x v="67"/>
    <s v="07/07/2025"/>
    <s v="Carlos"/>
    <s v="Centro-Oeste"/>
    <x v="6"/>
    <x v="4"/>
    <x v="7"/>
    <n v="187.14"/>
    <n v="0.05"/>
    <n v="1600.05"/>
    <n v="810"/>
    <n v="790.05"/>
    <x v="3"/>
    <s v="Online"/>
    <s v="Mercado Alpha"/>
  </r>
  <r>
    <x v="68"/>
    <s v="31/07/2025"/>
    <s v="Carlos"/>
    <s v="Sul"/>
    <x v="7"/>
    <x v="4"/>
    <x v="6"/>
    <n v="342.73"/>
    <n v="0.15"/>
    <n v="873.96"/>
    <n v="540"/>
    <n v="333.96"/>
    <x v="4"/>
    <s v="Online"/>
    <s v="Tech Solutions"/>
  </r>
  <r>
    <x v="69"/>
    <s v="05/01/2025"/>
    <s v="Maria"/>
    <s v="Sul"/>
    <x v="9"/>
    <x v="5"/>
    <x v="10"/>
    <n v="250.71"/>
    <n v="0.15"/>
    <n v="2557.2399999999998"/>
    <n v="1680"/>
    <n v="877.24"/>
    <x v="4"/>
    <s v="Loja Física"/>
    <s v="Comercial Brasil"/>
  </r>
  <r>
    <x v="70"/>
    <s v="26/02/2025"/>
    <s v="Carlos"/>
    <s v="Sudeste"/>
    <x v="2"/>
    <x v="1"/>
    <x v="2"/>
    <n v="3789.59"/>
    <n v="0"/>
    <n v="18947.95"/>
    <n v="15000"/>
    <n v="3947.95"/>
    <x v="1"/>
    <s v="Marketplace"/>
    <s v="StartUp One"/>
  </r>
  <r>
    <x v="71"/>
    <s v="19/03/2026"/>
    <s v="Maria"/>
    <s v="Sudeste"/>
    <x v="2"/>
    <x v="1"/>
    <x v="1"/>
    <n v="3617.53"/>
    <n v="0"/>
    <n v="25322.71"/>
    <n v="21000"/>
    <n v="4322.71"/>
    <x v="4"/>
    <s v="Marketplace"/>
    <s v="Cliente Avulso"/>
  </r>
  <r>
    <x v="72"/>
    <s v="05/06/2025"/>
    <s v="Lucas"/>
    <s v="Norte"/>
    <x v="2"/>
    <x v="1"/>
    <x v="3"/>
    <n v="4138.16"/>
    <n v="0"/>
    <n v="45519.76"/>
    <n v="33000"/>
    <n v="12519.76"/>
    <x v="0"/>
    <s v="Online"/>
    <s v="Cliente Avulso"/>
  </r>
  <r>
    <x v="73"/>
    <s v="02/04/2025"/>
    <s v="Fernanda"/>
    <s v="Sul"/>
    <x v="0"/>
    <x v="0"/>
    <x v="11"/>
    <n v="1399.22"/>
    <n v="0"/>
    <n v="11193.76"/>
    <n v="8400"/>
    <n v="2793.76"/>
    <x v="3"/>
    <s v="Loja Física"/>
    <s v="Empresa XP"/>
  </r>
  <r>
    <x v="74"/>
    <s v="13/02/2026"/>
    <s v="Carlos"/>
    <s v="Nordeste"/>
    <x v="2"/>
    <x v="1"/>
    <x v="5"/>
    <n v="4192.1499999999996"/>
    <n v="0.15"/>
    <n v="3563.33"/>
    <n v="3000"/>
    <n v="563.33000000000004"/>
    <x v="3"/>
    <s v="Loja Física"/>
    <s v="Loja Prime"/>
  </r>
  <r>
    <x v="75"/>
    <s v="28/02/2026"/>
    <s v="Carlos"/>
    <s v="Nordeste"/>
    <x v="7"/>
    <x v="4"/>
    <x v="9"/>
    <n v="341.72"/>
    <n v="0"/>
    <n v="683.44"/>
    <n v="360"/>
    <n v="323.44"/>
    <x v="2"/>
    <s v="Online"/>
    <s v="Lucas Lima"/>
  </r>
  <r>
    <x v="76"/>
    <s v="14/07/2025"/>
    <s v="Ana"/>
    <s v="Sudeste"/>
    <x v="2"/>
    <x v="1"/>
    <x v="1"/>
    <n v="3596.08"/>
    <n v="0"/>
    <n v="25172.560000000001"/>
    <n v="21000"/>
    <n v="4172.5600000000004"/>
    <x v="1"/>
    <s v="Online"/>
    <s v="Lucas Lima"/>
  </r>
  <r>
    <x v="77"/>
    <s v="11/03/2025"/>
    <s v="Lucas"/>
    <s v="Norte"/>
    <x v="2"/>
    <x v="1"/>
    <x v="10"/>
    <n v="3923.68"/>
    <n v="0.05"/>
    <n v="44729.95"/>
    <n v="36000"/>
    <n v="8729.9500000000007"/>
    <x v="1"/>
    <s v="Online"/>
    <s v="João Silva"/>
  </r>
  <r>
    <x v="78"/>
    <s v="14/06/2025"/>
    <s v="Ana"/>
    <s v="Centro-Oeste"/>
    <x v="2"/>
    <x v="1"/>
    <x v="0"/>
    <n v="3743.18"/>
    <n v="0"/>
    <n v="22459.08"/>
    <n v="18000"/>
    <n v="4459.08"/>
    <x v="4"/>
    <s v="Online"/>
    <s v="Mercado Alpha"/>
  </r>
  <r>
    <x v="79"/>
    <s v="12/11/2025"/>
    <s v="Carlos"/>
    <s v="Centro-Oeste"/>
    <x v="5"/>
    <x v="3"/>
    <x v="3"/>
    <n v="498.8"/>
    <n v="0.1"/>
    <n v="4938.12"/>
    <n v="3850"/>
    <n v="1088.1199999999999"/>
    <x v="2"/>
    <s v="Loja Física"/>
    <s v="StartUp One"/>
  </r>
  <r>
    <x v="80"/>
    <s v="08/05/2026"/>
    <s v="Fernanda"/>
    <s v="Nordeste"/>
    <x v="9"/>
    <x v="5"/>
    <x v="1"/>
    <n v="242.74"/>
    <n v="0.1"/>
    <n v="1529.26"/>
    <n v="980"/>
    <n v="549.26"/>
    <x v="4"/>
    <s v="Loja Física"/>
    <s v="Loja Prime"/>
  </r>
  <r>
    <x v="81"/>
    <s v="17/01/2025"/>
    <s v="Lucas"/>
    <s v="Sul"/>
    <x v="1"/>
    <x v="0"/>
    <x v="8"/>
    <n v="1017.34"/>
    <n v="0.05"/>
    <n v="3865.89"/>
    <n v="2600"/>
    <n v="1265.8900000000001"/>
    <x v="2"/>
    <s v="Marketplace"/>
    <s v="Maria Souza"/>
  </r>
  <r>
    <x v="82"/>
    <s v="14/12/2025"/>
    <s v="Pedro"/>
    <s v="Sul"/>
    <x v="2"/>
    <x v="1"/>
    <x v="9"/>
    <n v="4181.66"/>
    <n v="0"/>
    <n v="8363.32"/>
    <n v="6000"/>
    <n v="2363.3200000000002"/>
    <x v="3"/>
    <s v="Marketplace"/>
    <s v="Comercial Brasil"/>
  </r>
  <r>
    <x v="83"/>
    <s v="09/11/2025"/>
    <s v="Maria"/>
    <s v="Norte"/>
    <x v="9"/>
    <x v="5"/>
    <x v="4"/>
    <n v="245.58"/>
    <n v="0"/>
    <n v="2455.8000000000002"/>
    <n v="1400"/>
    <n v="1055.8"/>
    <x v="3"/>
    <s v="Online"/>
    <s v="Comercial Brasil"/>
  </r>
  <r>
    <x v="84"/>
    <s v="20/12/2025"/>
    <s v="Ana"/>
    <s v="Sudeste"/>
    <x v="0"/>
    <x v="0"/>
    <x v="11"/>
    <n v="1398.68"/>
    <n v="0.05"/>
    <n v="10629.97"/>
    <n v="8400"/>
    <n v="2229.9699999999998"/>
    <x v="0"/>
    <s v="Loja Física"/>
    <s v="StartUp One"/>
  </r>
  <r>
    <x v="85"/>
    <s v="10/08/2025"/>
    <s v="Maria"/>
    <s v="Centro-Oeste"/>
    <x v="7"/>
    <x v="4"/>
    <x v="1"/>
    <n v="320.32"/>
    <n v="0.05"/>
    <n v="2130.13"/>
    <n v="1260"/>
    <n v="870.13"/>
    <x v="2"/>
    <s v="Marketplace"/>
    <s v="Loja Prime"/>
  </r>
  <r>
    <x v="86"/>
    <s v="05/04/2025"/>
    <s v="Ana"/>
    <s v="Sudeste"/>
    <x v="0"/>
    <x v="0"/>
    <x v="1"/>
    <n v="1383.01"/>
    <n v="0"/>
    <n v="9681.07"/>
    <n v="7350"/>
    <n v="2331.0700000000002"/>
    <x v="2"/>
    <s v="Marketplace"/>
    <s v="João Silva"/>
  </r>
  <r>
    <x v="87"/>
    <s v="19/02/2026"/>
    <s v="Carlos"/>
    <s v="Sudeste"/>
    <x v="5"/>
    <x v="3"/>
    <x v="3"/>
    <n v="519.04"/>
    <n v="0.1"/>
    <n v="5138.5"/>
    <n v="3850"/>
    <n v="1288.5"/>
    <x v="3"/>
    <s v="Marketplace"/>
    <s v="Mercado Alpha"/>
  </r>
  <r>
    <x v="88"/>
    <s v="06/07/2025"/>
    <s v="Maria"/>
    <s v="Nordeste"/>
    <x v="7"/>
    <x v="4"/>
    <x v="10"/>
    <n v="346.08"/>
    <n v="0.15"/>
    <n v="3530.02"/>
    <n v="2160"/>
    <n v="1370.02"/>
    <x v="4"/>
    <s v="Loja Física"/>
    <s v="Cliente Avulso"/>
  </r>
  <r>
    <x v="89"/>
    <s v="30/12/2025"/>
    <s v="Maria"/>
    <s v="Centro-Oeste"/>
    <x v="1"/>
    <x v="0"/>
    <x v="3"/>
    <n v="960.95"/>
    <n v="0.05"/>
    <n v="10041.93"/>
    <n v="7150"/>
    <n v="2891.93"/>
    <x v="0"/>
    <s v="Online"/>
    <s v="Loja Prime"/>
  </r>
  <r>
    <x v="90"/>
    <s v="24/02/2026"/>
    <s v="Maria"/>
    <s v="Nordeste"/>
    <x v="6"/>
    <x v="4"/>
    <x v="6"/>
    <n v="190.96"/>
    <n v="0.05"/>
    <n v="544.24"/>
    <n v="270"/>
    <n v="274.24"/>
    <x v="1"/>
    <s v="Online"/>
    <s v="Cliente Avulso"/>
  </r>
  <r>
    <x v="91"/>
    <s v="09/07/2025"/>
    <s v="Ana"/>
    <s v="Sul"/>
    <x v="5"/>
    <x v="3"/>
    <x v="1"/>
    <n v="553.66"/>
    <n v="0.05"/>
    <n v="3681.84"/>
    <n v="2450"/>
    <n v="1231.8399999999999"/>
    <x v="3"/>
    <s v="Loja Física"/>
    <s v="Cliente Avulso"/>
  </r>
  <r>
    <x v="92"/>
    <s v="26/02/2025"/>
    <s v="Fernanda"/>
    <s v="Sul"/>
    <x v="0"/>
    <x v="0"/>
    <x v="3"/>
    <n v="1401.36"/>
    <n v="0"/>
    <n v="15414.96"/>
    <n v="11550"/>
    <n v="3864.96"/>
    <x v="3"/>
    <s v="Loja Física"/>
    <s v="Maria Souza"/>
  </r>
  <r>
    <x v="93"/>
    <s v="09/01/2025"/>
    <s v="Ana"/>
    <s v="Sul"/>
    <x v="6"/>
    <x v="4"/>
    <x v="3"/>
    <n v="172.31"/>
    <n v="0.1"/>
    <n v="1705.87"/>
    <n v="990"/>
    <n v="715.87"/>
    <x v="2"/>
    <s v="Loja Física"/>
    <s v="Lucas Lima"/>
  </r>
  <r>
    <x v="94"/>
    <s v="14/06/2025"/>
    <s v="Lucas"/>
    <s v="Norte"/>
    <x v="1"/>
    <x v="0"/>
    <x v="8"/>
    <n v="1006.81"/>
    <n v="0.15"/>
    <n v="3423.15"/>
    <n v="2600"/>
    <n v="823.15"/>
    <x v="3"/>
    <s v="Marketplace"/>
    <s v="Maria Souza"/>
  </r>
  <r>
    <x v="95"/>
    <s v="23/08/2025"/>
    <s v="Fernanda"/>
    <s v="Norte"/>
    <x v="7"/>
    <x v="4"/>
    <x v="2"/>
    <n v="309.52999999999997"/>
    <n v="0"/>
    <n v="1547.65"/>
    <n v="900"/>
    <n v="647.65"/>
    <x v="2"/>
    <s v="Loja Física"/>
    <s v="Empresa XP"/>
  </r>
  <r>
    <x v="96"/>
    <s v="02/01/2025"/>
    <s v="Pedro"/>
    <s v="Sudeste"/>
    <x v="7"/>
    <x v="4"/>
    <x v="0"/>
    <n v="299.33"/>
    <n v="0.15"/>
    <n v="1526.58"/>
    <n v="1080"/>
    <n v="446.58"/>
    <x v="2"/>
    <s v="Marketplace"/>
    <s v="Empresa XP"/>
  </r>
  <r>
    <x v="97"/>
    <s v="17/09/2025"/>
    <s v="Fernanda"/>
    <s v="Sul"/>
    <x v="3"/>
    <x v="2"/>
    <x v="2"/>
    <n v="361.87"/>
    <n v="0"/>
    <n v="1809.35"/>
    <n v="1100"/>
    <n v="709.35"/>
    <x v="4"/>
    <s v="Loja Física"/>
    <s v="StartUp One"/>
  </r>
  <r>
    <x v="98"/>
    <s v="12/07/2025"/>
    <s v="Lucas"/>
    <s v="Sudeste"/>
    <x v="4"/>
    <x v="1"/>
    <x v="7"/>
    <n v="4062.41"/>
    <n v="0"/>
    <n v="36561.69"/>
    <n v="28800"/>
    <n v="7761.69"/>
    <x v="4"/>
    <s v="Marketplace"/>
    <s v="StartUp One"/>
  </r>
  <r>
    <x v="99"/>
    <s v="22/04/2026"/>
    <s v="Ana"/>
    <s v="Sul"/>
    <x v="6"/>
    <x v="4"/>
    <x v="5"/>
    <n v="188.7"/>
    <n v="0"/>
    <n v="188.7"/>
    <n v="90"/>
    <n v="98.7"/>
    <x v="4"/>
    <s v="Marketplace"/>
    <s v="StartUp 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3D7E6-B0CD-485C-A1FA-70EFBD05EDFB}" name="tbl_soma_receitas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B6:C17" firstHeaderRow="1" firstDataRow="1" firstDataCol="1" rowPageCount="2" colPageCount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8"/>
        <item x="3"/>
        <item x="1"/>
        <item x="0"/>
        <item x="6"/>
        <item x="4"/>
        <item x="2"/>
        <item x="5"/>
        <item x="7"/>
        <item x="9"/>
        <item t="default"/>
      </items>
    </pivotField>
    <pivotField axis="axisPage" compact="0" outline="0" multipleItemSelectionAllowed="1" showAll="0">
      <items count="7">
        <item x="5"/>
        <item x="3"/>
        <item x="2"/>
        <item x="1"/>
        <item x="0"/>
        <item x="4"/>
        <item t="default"/>
      </items>
    </pivotField>
    <pivotField compact="0" outline="0" showAll="0">
      <items count="13">
        <item x="5"/>
        <item x="9"/>
        <item x="6"/>
        <item x="8"/>
        <item x="2"/>
        <item x="0"/>
        <item x="1"/>
        <item x="11"/>
        <item x="7"/>
        <item x="4"/>
        <item x="3"/>
        <item x="10"/>
        <item t="default"/>
      </items>
    </pivotField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axis="axisPage" compact="0" outline="0" multipleItemSelectionAllowed="1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5" hier="-1"/>
    <pageField fld="12" hier="-1"/>
  </pageFields>
  <dataFields count="1">
    <dataField name="Soma de Receita" fld="9" baseField="0" baseItem="0" numFmtId="164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38">
    <chartFormat chart="3" format="1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11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11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117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1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2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2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2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12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12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12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1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2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3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3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3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3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13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13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9" format="1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2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3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3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13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13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13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9" format="13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6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64786-BEC5-4A6B-823E-55D128F1F0A4}" name="Tabela dinâmica6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F156:G162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5"/>
        <item x="3"/>
        <item x="2"/>
        <item x="1"/>
        <item x="0"/>
        <item x="4"/>
        <item t="default"/>
      </items>
    </pivotField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axis="axisRow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ID_Venda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A1E1C-CB8D-4008-BF39-358889FBDCC8}" name="Tabela dinâmica5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K149:L156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3"/>
        <item x="2"/>
        <item x="1"/>
        <item x="0"/>
        <item x="4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Receita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91674-0DEB-4B00-8B90-8DB3908BBE73}" name="Tabela dinâmica4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F130:G14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8"/>
        <item x="3"/>
        <item x="1"/>
        <item x="0"/>
        <item x="6"/>
        <item x="4"/>
        <item x="2"/>
        <item x="5"/>
        <item x="7"/>
        <item x="9"/>
        <item t="default"/>
      </items>
    </pivotField>
    <pivotField compact="0" outline="0" showAll="0">
      <items count="7">
        <item x="5"/>
        <item x="3"/>
        <item x="2"/>
        <item x="1"/>
        <item x="0"/>
        <item x="4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Receita" fld="9" baseField="0" baseItem="0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C6CA5-37BD-4AFE-B426-D3B1A737DC86}" name="Tabela dinâmica3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M107:M108" firstHeaderRow="1" firstDataRow="1" firstDataCol="0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8"/>
        <item x="3"/>
        <item x="1"/>
        <item x="0"/>
        <item x="6"/>
        <item x="4"/>
        <item x="2"/>
        <item x="5"/>
        <item x="7"/>
        <item x="9"/>
        <item t="default"/>
      </items>
    </pivotField>
    <pivotField compact="0" outline="0" showAll="0">
      <items count="7">
        <item x="5"/>
        <item x="3"/>
        <item x="2"/>
        <item x="1"/>
        <item x="0"/>
        <item x="4"/>
        <item t="default"/>
      </items>
    </pivotField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Soma de Lucro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F5AF2-8FB9-480F-AB90-527916700F5C}" name="Tabela dinâmica2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119:K120" firstHeaderRow="1" firstDataRow="1" firstDataCol="0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8"/>
        <item x="3"/>
        <item x="1"/>
        <item x="0"/>
        <item x="6"/>
        <item x="4"/>
        <item x="2"/>
        <item x="5"/>
        <item x="7"/>
        <item x="9"/>
        <item t="default"/>
      </items>
    </pivotField>
    <pivotField compact="0" outline="0" showAll="0">
      <items count="7">
        <item x="5"/>
        <item x="3"/>
        <item x="2"/>
        <item x="1"/>
        <item x="0"/>
        <item x="4"/>
        <item t="default"/>
      </items>
    </pivotField>
    <pivotField dataField="1"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Soma de Quantidad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CCCFD-A28D-45B3-92B8-918A0D7D18B7}" name="Tabela dinâmica1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E103:E104" firstHeaderRow="1" firstDataRow="1" firstDataCol="0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8"/>
        <item x="3"/>
        <item x="1"/>
        <item x="0"/>
        <item x="6"/>
        <item x="4"/>
        <item x="2"/>
        <item x="5"/>
        <item x="7"/>
        <item x="9"/>
        <item t="default"/>
      </items>
    </pivotField>
    <pivotField compact="0" outline="0" showAll="0">
      <items count="7">
        <item x="5"/>
        <item x="3"/>
        <item x="2"/>
        <item x="1"/>
        <item x="0"/>
        <item x="4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</pivotFields>
  <rowItems count="1">
    <i/>
  </rowItems>
  <colItems count="1">
    <i/>
  </colItems>
  <dataFields count="1">
    <dataField name="Soma de Receita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4A249E26-80A7-4FC2-A9CE-E7C77216D523}" sourceName="Categoria">
  <pivotTables>
    <pivotTable tabId="3" name="Tabela dinâmica1"/>
    <pivotTable tabId="3" name="Tabela dinâmica2"/>
    <pivotTable tabId="3" name="Tabela dinâmica3"/>
    <pivotTable tabId="2" name="tbl_soma_receitas"/>
    <pivotTable tabId="3" name="Tabela dinâmica4"/>
    <pivotTable tabId="3" name="Tabela dinâmica5"/>
    <pivotTable tabId="3" name="Tabela dinâmica6"/>
  </pivotTables>
  <data>
    <tabular pivotCacheId="729077987">
      <items count="6">
        <i x="5" s="1"/>
        <i x="3" s="1"/>
        <i x="2" s="1"/>
        <i x="1" s="1"/>
        <i x="0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_Pagamento1" xr10:uid="{C5E4A4A2-9C26-4E32-A4C6-D80BEB2377DB}" sourceName="Forma_Pagamento">
  <pivotTables>
    <pivotTable tabId="3" name="Tabela dinâmica1"/>
    <pivotTable tabId="3" name="Tabela dinâmica2"/>
    <pivotTable tabId="3" name="Tabela dinâmica3"/>
    <pivotTable tabId="2" name="tbl_soma_receitas"/>
    <pivotTable tabId="3" name="Tabela dinâmica4"/>
    <pivotTable tabId="3" name="Tabela dinâmica5"/>
    <pivotTable tabId="3" name="Tabela dinâmica6"/>
  </pivotTables>
  <data>
    <tabular pivotCacheId="729077987">
      <items count="5">
        <i x="0" s="1"/>
        <i x="4" s="1"/>
        <i x="3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7AA7D7D-3AFD-4459-B5F7-C8ADA81827E2}" cache="SegmentaçãodeDados_Categoria1" caption="Categoria" style="SlicerStyleOther1" rowHeight="228600"/>
  <slicer name="Forma_Pagamento" xr10:uid="{2C3F8AA5-EFE7-41E8-8EEB-33CF7CBDD619}" cache="SegmentaçãodeDados_Forma_Pagamento1" caption="Forma_Pagamento" style="SlicerStyleLight4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5EA5FB2B-F3C9-4C5B-B6EE-F94A1105F578}" cache="SegmentaçãodeDados_Categoria1" caption="Categoria" rowHeight="228600"/>
  <slicer name="Forma_Pagamento 1" xr10:uid="{5EBD885E-A356-4B7E-AEE4-619CDB01530B}" cache="SegmentaçãodeDados_Forma_Pagamento1" caption="Forma_Pagamento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showGridLines="0" workbookViewId="0">
      <selection sqref="A1:O101"/>
    </sheetView>
  </sheetViews>
  <sheetFormatPr defaultRowHeight="15"/>
  <cols>
    <col min="1" max="1" width="10.42578125" bestFit="1" customWidth="1"/>
    <col min="2" max="2" width="12.140625" customWidth="1"/>
    <col min="3" max="3" width="14.28515625" customWidth="1"/>
    <col min="4" max="4" width="12.5703125" bestFit="1" customWidth="1"/>
    <col min="5" max="5" width="17.85546875" customWidth="1"/>
    <col min="6" max="6" width="15.7109375" customWidth="1"/>
    <col min="7" max="7" width="13.140625" style="5" customWidth="1"/>
    <col min="8" max="8" width="16.42578125" style="4" customWidth="1"/>
    <col min="9" max="9" width="13.5703125" customWidth="1"/>
    <col min="10" max="10" width="20.5703125" style="4" customWidth="1"/>
    <col min="11" max="11" width="17.42578125" style="4" customWidth="1"/>
    <col min="12" max="12" width="16" style="4" customWidth="1"/>
    <col min="13" max="13" width="18" customWidth="1"/>
    <col min="14" max="14" width="14.28515625" customWidth="1"/>
    <col min="15" max="15" width="17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8">
        <v>6</v>
      </c>
      <c r="H2" s="9">
        <v>1561.11</v>
      </c>
      <c r="I2" s="8">
        <v>0.1</v>
      </c>
      <c r="J2" s="9">
        <v>8429.99</v>
      </c>
      <c r="K2" s="9">
        <v>6300</v>
      </c>
      <c r="L2" s="9">
        <v>2129.9899999999998</v>
      </c>
      <c r="M2" s="7" t="s">
        <v>21</v>
      </c>
      <c r="N2" s="7" t="s">
        <v>22</v>
      </c>
      <c r="O2" s="10" t="s">
        <v>23</v>
      </c>
    </row>
    <row r="3" spans="1:15">
      <c r="A3" s="11" t="s">
        <v>24</v>
      </c>
      <c r="B3" s="11" t="s">
        <v>25</v>
      </c>
      <c r="C3" s="11" t="s">
        <v>26</v>
      </c>
      <c r="D3" s="11" t="s">
        <v>27</v>
      </c>
      <c r="E3" s="11" t="s">
        <v>28</v>
      </c>
      <c r="F3" s="11" t="s">
        <v>20</v>
      </c>
      <c r="G3" s="12">
        <v>7</v>
      </c>
      <c r="H3" s="13">
        <v>946.49</v>
      </c>
      <c r="I3" s="12">
        <v>0</v>
      </c>
      <c r="J3" s="13">
        <v>6625.43</v>
      </c>
      <c r="K3" s="13">
        <v>4550</v>
      </c>
      <c r="L3" s="13">
        <v>2075.4299999999998</v>
      </c>
      <c r="M3" s="11" t="s">
        <v>29</v>
      </c>
      <c r="N3" s="11" t="s">
        <v>30</v>
      </c>
      <c r="O3" s="14" t="s">
        <v>31</v>
      </c>
    </row>
    <row r="4" spans="1:15">
      <c r="A4" s="7" t="s">
        <v>32</v>
      </c>
      <c r="B4" s="7" t="s">
        <v>33</v>
      </c>
      <c r="C4" s="7" t="s">
        <v>34</v>
      </c>
      <c r="D4" s="7" t="s">
        <v>18</v>
      </c>
      <c r="E4" s="7" t="s">
        <v>28</v>
      </c>
      <c r="F4" s="7" t="s">
        <v>20</v>
      </c>
      <c r="G4" s="8">
        <v>6</v>
      </c>
      <c r="H4" s="9">
        <v>908.38</v>
      </c>
      <c r="I4" s="8">
        <v>0.05</v>
      </c>
      <c r="J4" s="9">
        <v>5177.7700000000004</v>
      </c>
      <c r="K4" s="9">
        <v>3900</v>
      </c>
      <c r="L4" s="9">
        <v>1277.77</v>
      </c>
      <c r="M4" s="7" t="s">
        <v>29</v>
      </c>
      <c r="N4" s="7" t="s">
        <v>30</v>
      </c>
      <c r="O4" s="10" t="s">
        <v>35</v>
      </c>
    </row>
    <row r="5" spans="1:15">
      <c r="A5" s="11" t="s">
        <v>36</v>
      </c>
      <c r="B5" s="11" t="s">
        <v>37</v>
      </c>
      <c r="C5" s="11" t="s">
        <v>26</v>
      </c>
      <c r="D5" s="11" t="s">
        <v>27</v>
      </c>
      <c r="E5" s="11" t="s">
        <v>38</v>
      </c>
      <c r="F5" s="11" t="s">
        <v>39</v>
      </c>
      <c r="G5" s="12">
        <v>5</v>
      </c>
      <c r="H5" s="13">
        <v>3799.58</v>
      </c>
      <c r="I5" s="12">
        <v>0</v>
      </c>
      <c r="J5" s="13">
        <v>18997.900000000001</v>
      </c>
      <c r="K5" s="13">
        <v>15000</v>
      </c>
      <c r="L5" s="13">
        <v>3997.9</v>
      </c>
      <c r="M5" s="11" t="s">
        <v>40</v>
      </c>
      <c r="N5" s="11" t="s">
        <v>30</v>
      </c>
      <c r="O5" s="14" t="s">
        <v>35</v>
      </c>
    </row>
    <row r="6" spans="1:15">
      <c r="A6" s="7" t="s">
        <v>41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8">
        <v>11</v>
      </c>
      <c r="H6" s="9">
        <v>364.86</v>
      </c>
      <c r="I6" s="8">
        <v>0.15</v>
      </c>
      <c r="J6" s="9">
        <v>3411.44</v>
      </c>
      <c r="K6" s="9">
        <v>2420</v>
      </c>
      <c r="L6" s="9">
        <v>991.44</v>
      </c>
      <c r="M6" s="7" t="s">
        <v>47</v>
      </c>
      <c r="N6" s="7" t="s">
        <v>30</v>
      </c>
      <c r="O6" s="10" t="s">
        <v>48</v>
      </c>
    </row>
    <row r="7" spans="1:15">
      <c r="A7" s="11" t="s">
        <v>49</v>
      </c>
      <c r="B7" s="11" t="s">
        <v>50</v>
      </c>
      <c r="C7" s="11" t="s">
        <v>34</v>
      </c>
      <c r="D7" s="11" t="s">
        <v>51</v>
      </c>
      <c r="E7" s="11" t="s">
        <v>52</v>
      </c>
      <c r="F7" s="11" t="s">
        <v>39</v>
      </c>
      <c r="G7" s="12">
        <v>6</v>
      </c>
      <c r="H7" s="13">
        <v>4356.46</v>
      </c>
      <c r="I7" s="12">
        <v>0.1</v>
      </c>
      <c r="J7" s="13">
        <v>23524.880000000001</v>
      </c>
      <c r="K7" s="13">
        <v>19200</v>
      </c>
      <c r="L7" s="13">
        <v>4324.88</v>
      </c>
      <c r="M7" s="11" t="s">
        <v>53</v>
      </c>
      <c r="N7" s="11" t="s">
        <v>22</v>
      </c>
      <c r="O7" s="14" t="s">
        <v>54</v>
      </c>
    </row>
    <row r="8" spans="1:15">
      <c r="A8" s="7" t="s">
        <v>55</v>
      </c>
      <c r="B8" s="7" t="s">
        <v>56</v>
      </c>
      <c r="C8" s="7" t="s">
        <v>57</v>
      </c>
      <c r="D8" s="7" t="s">
        <v>44</v>
      </c>
      <c r="E8" s="7" t="s">
        <v>58</v>
      </c>
      <c r="F8" s="7" t="s">
        <v>59</v>
      </c>
      <c r="G8" s="8">
        <v>10</v>
      </c>
      <c r="H8" s="9">
        <v>558.44000000000005</v>
      </c>
      <c r="I8" s="8">
        <v>0</v>
      </c>
      <c r="J8" s="9">
        <v>5584.4</v>
      </c>
      <c r="K8" s="9">
        <v>3500</v>
      </c>
      <c r="L8" s="9">
        <v>2084.4</v>
      </c>
      <c r="M8" s="7" t="s">
        <v>53</v>
      </c>
      <c r="N8" s="7" t="s">
        <v>30</v>
      </c>
      <c r="O8" s="10" t="s">
        <v>31</v>
      </c>
    </row>
    <row r="9" spans="1:15">
      <c r="A9" s="11" t="s">
        <v>60</v>
      </c>
      <c r="B9" s="11" t="s">
        <v>61</v>
      </c>
      <c r="C9" s="11" t="s">
        <v>17</v>
      </c>
      <c r="D9" s="11" t="s">
        <v>18</v>
      </c>
      <c r="E9" s="11" t="s">
        <v>62</v>
      </c>
      <c r="F9" s="11" t="s">
        <v>63</v>
      </c>
      <c r="G9" s="12">
        <v>5</v>
      </c>
      <c r="H9" s="13">
        <v>179.6</v>
      </c>
      <c r="I9" s="12">
        <v>0</v>
      </c>
      <c r="J9" s="13">
        <v>898</v>
      </c>
      <c r="K9" s="13">
        <v>450</v>
      </c>
      <c r="L9" s="13">
        <v>448</v>
      </c>
      <c r="M9" s="11" t="s">
        <v>47</v>
      </c>
      <c r="N9" s="11" t="s">
        <v>30</v>
      </c>
      <c r="O9" s="14" t="s">
        <v>64</v>
      </c>
    </row>
    <row r="10" spans="1:15">
      <c r="A10" s="7" t="s">
        <v>65</v>
      </c>
      <c r="B10" s="7" t="s">
        <v>66</v>
      </c>
      <c r="C10" s="7" t="s">
        <v>26</v>
      </c>
      <c r="D10" s="7" t="s">
        <v>44</v>
      </c>
      <c r="E10" s="7" t="s">
        <v>38</v>
      </c>
      <c r="F10" s="7" t="s">
        <v>39</v>
      </c>
      <c r="G10" s="8">
        <v>10</v>
      </c>
      <c r="H10" s="9">
        <v>3681.83</v>
      </c>
      <c r="I10" s="8">
        <v>0.1</v>
      </c>
      <c r="J10" s="9">
        <v>33136.47</v>
      </c>
      <c r="K10" s="9">
        <v>30000</v>
      </c>
      <c r="L10" s="9">
        <v>3136.47</v>
      </c>
      <c r="M10" s="7" t="s">
        <v>40</v>
      </c>
      <c r="N10" s="7" t="s">
        <v>22</v>
      </c>
      <c r="O10" s="10" t="s">
        <v>67</v>
      </c>
    </row>
    <row r="11" spans="1:15">
      <c r="A11" s="11" t="s">
        <v>68</v>
      </c>
      <c r="B11" s="11" t="s">
        <v>69</v>
      </c>
      <c r="C11" s="11" t="s">
        <v>70</v>
      </c>
      <c r="D11" s="11" t="s">
        <v>18</v>
      </c>
      <c r="E11" s="11" t="s">
        <v>71</v>
      </c>
      <c r="F11" s="11" t="s">
        <v>63</v>
      </c>
      <c r="G11" s="12">
        <v>1</v>
      </c>
      <c r="H11" s="13">
        <v>317.77999999999997</v>
      </c>
      <c r="I11" s="12">
        <v>0.05</v>
      </c>
      <c r="J11" s="13">
        <v>301.89</v>
      </c>
      <c r="K11" s="13">
        <v>180</v>
      </c>
      <c r="L11" s="13">
        <v>121.89</v>
      </c>
      <c r="M11" s="11" t="s">
        <v>40</v>
      </c>
      <c r="N11" s="11" t="s">
        <v>72</v>
      </c>
      <c r="O11" s="14" t="s">
        <v>73</v>
      </c>
    </row>
    <row r="12" spans="1:15">
      <c r="A12" s="7" t="s">
        <v>74</v>
      </c>
      <c r="B12" s="7" t="s">
        <v>75</v>
      </c>
      <c r="C12" s="7" t="s">
        <v>26</v>
      </c>
      <c r="D12" s="7" t="s">
        <v>51</v>
      </c>
      <c r="E12" s="7" t="s">
        <v>28</v>
      </c>
      <c r="F12" s="7" t="s">
        <v>20</v>
      </c>
      <c r="G12" s="8">
        <v>7</v>
      </c>
      <c r="H12" s="9">
        <v>1015.15</v>
      </c>
      <c r="I12" s="8">
        <v>0.1</v>
      </c>
      <c r="J12" s="9">
        <v>6395.45</v>
      </c>
      <c r="K12" s="9">
        <v>4550</v>
      </c>
      <c r="L12" s="9">
        <v>1845.45</v>
      </c>
      <c r="M12" s="7" t="s">
        <v>53</v>
      </c>
      <c r="N12" s="7" t="s">
        <v>72</v>
      </c>
      <c r="O12" s="10" t="s">
        <v>31</v>
      </c>
    </row>
    <row r="13" spans="1:15">
      <c r="A13" s="11" t="s">
        <v>76</v>
      </c>
      <c r="B13" s="11" t="s">
        <v>77</v>
      </c>
      <c r="C13" s="11" t="s">
        <v>70</v>
      </c>
      <c r="D13" s="11" t="s">
        <v>44</v>
      </c>
      <c r="E13" s="11" t="s">
        <v>19</v>
      </c>
      <c r="F13" s="11" t="s">
        <v>20</v>
      </c>
      <c r="G13" s="12">
        <v>3</v>
      </c>
      <c r="H13" s="13">
        <v>1580.31</v>
      </c>
      <c r="I13" s="12">
        <v>0.05</v>
      </c>
      <c r="J13" s="13">
        <v>4503.88</v>
      </c>
      <c r="K13" s="13">
        <v>3150</v>
      </c>
      <c r="L13" s="13">
        <v>1353.88</v>
      </c>
      <c r="M13" s="11" t="s">
        <v>40</v>
      </c>
      <c r="N13" s="11" t="s">
        <v>72</v>
      </c>
      <c r="O13" s="14" t="s">
        <v>23</v>
      </c>
    </row>
    <row r="14" spans="1:15">
      <c r="A14" s="7" t="s">
        <v>78</v>
      </c>
      <c r="B14" s="7" t="s">
        <v>79</v>
      </c>
      <c r="C14" s="7" t="s">
        <v>34</v>
      </c>
      <c r="D14" s="7" t="s">
        <v>80</v>
      </c>
      <c r="E14" s="7" t="s">
        <v>45</v>
      </c>
      <c r="F14" s="7" t="s">
        <v>46</v>
      </c>
      <c r="G14" s="8">
        <v>11</v>
      </c>
      <c r="H14" s="9">
        <v>382</v>
      </c>
      <c r="I14" s="8">
        <v>0</v>
      </c>
      <c r="J14" s="9">
        <v>4202</v>
      </c>
      <c r="K14" s="9">
        <v>2420</v>
      </c>
      <c r="L14" s="9">
        <v>1782</v>
      </c>
      <c r="M14" s="7" t="s">
        <v>40</v>
      </c>
      <c r="N14" s="7" t="s">
        <v>30</v>
      </c>
      <c r="O14" s="10" t="s">
        <v>31</v>
      </c>
    </row>
    <row r="15" spans="1:15">
      <c r="A15" s="11" t="s">
        <v>81</v>
      </c>
      <c r="B15" s="11" t="s">
        <v>82</v>
      </c>
      <c r="C15" s="11" t="s">
        <v>57</v>
      </c>
      <c r="D15" s="11" t="s">
        <v>51</v>
      </c>
      <c r="E15" s="11" t="s">
        <v>58</v>
      </c>
      <c r="F15" s="11" t="s">
        <v>59</v>
      </c>
      <c r="G15" s="12">
        <v>9</v>
      </c>
      <c r="H15" s="13">
        <v>525.79</v>
      </c>
      <c r="I15" s="12">
        <v>0.05</v>
      </c>
      <c r="J15" s="13">
        <v>4495.5</v>
      </c>
      <c r="K15" s="13">
        <v>3150</v>
      </c>
      <c r="L15" s="13">
        <v>1345.5</v>
      </c>
      <c r="M15" s="11" t="s">
        <v>21</v>
      </c>
      <c r="N15" s="11" t="s">
        <v>72</v>
      </c>
      <c r="O15" s="14" t="s">
        <v>35</v>
      </c>
    </row>
    <row r="16" spans="1:15">
      <c r="A16" s="7" t="s">
        <v>83</v>
      </c>
      <c r="B16" s="7" t="s">
        <v>42</v>
      </c>
      <c r="C16" s="7" t="s">
        <v>34</v>
      </c>
      <c r="D16" s="7" t="s">
        <v>18</v>
      </c>
      <c r="E16" s="7" t="s">
        <v>62</v>
      </c>
      <c r="F16" s="7" t="s">
        <v>63</v>
      </c>
      <c r="G16" s="8">
        <v>7</v>
      </c>
      <c r="H16" s="9">
        <v>186.97</v>
      </c>
      <c r="I16" s="8">
        <v>0.15</v>
      </c>
      <c r="J16" s="9">
        <v>1112.47</v>
      </c>
      <c r="K16" s="9">
        <v>630</v>
      </c>
      <c r="L16" s="9">
        <v>482.47</v>
      </c>
      <c r="M16" s="7" t="s">
        <v>21</v>
      </c>
      <c r="N16" s="7" t="s">
        <v>22</v>
      </c>
      <c r="O16" s="10" t="s">
        <v>35</v>
      </c>
    </row>
    <row r="17" spans="1:15">
      <c r="A17" s="11" t="s">
        <v>84</v>
      </c>
      <c r="B17" s="11" t="s">
        <v>85</v>
      </c>
      <c r="C17" s="11" t="s">
        <v>34</v>
      </c>
      <c r="D17" s="11" t="s">
        <v>51</v>
      </c>
      <c r="E17" s="11" t="s">
        <v>38</v>
      </c>
      <c r="F17" s="11" t="s">
        <v>39</v>
      </c>
      <c r="G17" s="12">
        <v>9</v>
      </c>
      <c r="H17" s="13">
        <v>3588.51</v>
      </c>
      <c r="I17" s="12">
        <v>0.1</v>
      </c>
      <c r="J17" s="13">
        <v>29066.93</v>
      </c>
      <c r="K17" s="13">
        <v>27000</v>
      </c>
      <c r="L17" s="13">
        <v>2066.9299999999998</v>
      </c>
      <c r="M17" s="11" t="s">
        <v>47</v>
      </c>
      <c r="N17" s="11" t="s">
        <v>30</v>
      </c>
      <c r="O17" s="14" t="s">
        <v>35</v>
      </c>
    </row>
    <row r="18" spans="1:15">
      <c r="A18" s="7" t="s">
        <v>86</v>
      </c>
      <c r="B18" s="7" t="s">
        <v>87</v>
      </c>
      <c r="C18" s="7" t="s">
        <v>43</v>
      </c>
      <c r="D18" s="7" t="s">
        <v>80</v>
      </c>
      <c r="E18" s="7" t="s">
        <v>58</v>
      </c>
      <c r="F18" s="7" t="s">
        <v>59</v>
      </c>
      <c r="G18" s="8">
        <v>11</v>
      </c>
      <c r="H18" s="9">
        <v>491.34</v>
      </c>
      <c r="I18" s="8">
        <v>0</v>
      </c>
      <c r="J18" s="9">
        <v>5404.74</v>
      </c>
      <c r="K18" s="9">
        <v>3850</v>
      </c>
      <c r="L18" s="9">
        <v>1554.74</v>
      </c>
      <c r="M18" s="7" t="s">
        <v>21</v>
      </c>
      <c r="N18" s="7" t="s">
        <v>22</v>
      </c>
      <c r="O18" s="10" t="s">
        <v>35</v>
      </c>
    </row>
    <row r="19" spans="1:15">
      <c r="A19" s="11" t="s">
        <v>88</v>
      </c>
      <c r="B19" s="11" t="s">
        <v>89</v>
      </c>
      <c r="C19" s="11" t="s">
        <v>26</v>
      </c>
      <c r="D19" s="11" t="s">
        <v>44</v>
      </c>
      <c r="E19" s="11" t="s">
        <v>19</v>
      </c>
      <c r="F19" s="11" t="s">
        <v>20</v>
      </c>
      <c r="G19" s="12">
        <v>6</v>
      </c>
      <c r="H19" s="13">
        <v>1554.77</v>
      </c>
      <c r="I19" s="12">
        <v>0.1</v>
      </c>
      <c r="J19" s="13">
        <v>8395.76</v>
      </c>
      <c r="K19" s="13">
        <v>6300</v>
      </c>
      <c r="L19" s="13">
        <v>2095.7600000000002</v>
      </c>
      <c r="M19" s="11" t="s">
        <v>29</v>
      </c>
      <c r="N19" s="11" t="s">
        <v>22</v>
      </c>
      <c r="O19" s="14" t="s">
        <v>23</v>
      </c>
    </row>
    <row r="20" spans="1:15">
      <c r="A20" s="7" t="s">
        <v>90</v>
      </c>
      <c r="B20" s="7" t="s">
        <v>91</v>
      </c>
      <c r="C20" s="7" t="s">
        <v>57</v>
      </c>
      <c r="D20" s="7" t="s">
        <v>18</v>
      </c>
      <c r="E20" s="7" t="s">
        <v>19</v>
      </c>
      <c r="F20" s="7" t="s">
        <v>20</v>
      </c>
      <c r="G20" s="8">
        <v>3</v>
      </c>
      <c r="H20" s="9">
        <v>1589.92</v>
      </c>
      <c r="I20" s="8">
        <v>0.1</v>
      </c>
      <c r="J20" s="9">
        <v>4292.78</v>
      </c>
      <c r="K20" s="9">
        <v>3150</v>
      </c>
      <c r="L20" s="9">
        <v>1142.78</v>
      </c>
      <c r="M20" s="7" t="s">
        <v>53</v>
      </c>
      <c r="N20" s="7" t="s">
        <v>22</v>
      </c>
      <c r="O20" s="10" t="s">
        <v>73</v>
      </c>
    </row>
    <row r="21" spans="1:15">
      <c r="A21" s="11" t="s">
        <v>92</v>
      </c>
      <c r="B21" s="11" t="s">
        <v>93</v>
      </c>
      <c r="C21" s="11" t="s">
        <v>34</v>
      </c>
      <c r="D21" s="11" t="s">
        <v>18</v>
      </c>
      <c r="E21" s="11" t="s">
        <v>52</v>
      </c>
      <c r="F21" s="11" t="s">
        <v>39</v>
      </c>
      <c r="G21" s="12">
        <v>6</v>
      </c>
      <c r="H21" s="13">
        <v>4028.49</v>
      </c>
      <c r="I21" s="12">
        <v>0.05</v>
      </c>
      <c r="J21" s="13">
        <v>22962.39</v>
      </c>
      <c r="K21" s="13">
        <v>19200</v>
      </c>
      <c r="L21" s="13">
        <v>3762.39</v>
      </c>
      <c r="M21" s="11" t="s">
        <v>47</v>
      </c>
      <c r="N21" s="11" t="s">
        <v>22</v>
      </c>
      <c r="O21" s="14" t="s">
        <v>94</v>
      </c>
    </row>
    <row r="22" spans="1:15">
      <c r="A22" s="7" t="s">
        <v>95</v>
      </c>
      <c r="B22" s="7" t="s">
        <v>96</v>
      </c>
      <c r="C22" s="7" t="s">
        <v>26</v>
      </c>
      <c r="D22" s="7" t="s">
        <v>27</v>
      </c>
      <c r="E22" s="7" t="s">
        <v>38</v>
      </c>
      <c r="F22" s="7" t="s">
        <v>39</v>
      </c>
      <c r="G22" s="8">
        <v>3</v>
      </c>
      <c r="H22" s="9">
        <v>4224.7299999999996</v>
      </c>
      <c r="I22" s="8">
        <v>0.1</v>
      </c>
      <c r="J22" s="9">
        <v>11406.77</v>
      </c>
      <c r="K22" s="9">
        <v>9000</v>
      </c>
      <c r="L22" s="9">
        <v>2406.77</v>
      </c>
      <c r="M22" s="7" t="s">
        <v>21</v>
      </c>
      <c r="N22" s="7" t="s">
        <v>22</v>
      </c>
      <c r="O22" s="10" t="s">
        <v>73</v>
      </c>
    </row>
    <row r="23" spans="1:15">
      <c r="A23" s="11" t="s">
        <v>97</v>
      </c>
      <c r="B23" s="11" t="s">
        <v>98</v>
      </c>
      <c r="C23" s="11" t="s">
        <v>57</v>
      </c>
      <c r="D23" s="11" t="s">
        <v>27</v>
      </c>
      <c r="E23" s="11" t="s">
        <v>38</v>
      </c>
      <c r="F23" s="11" t="s">
        <v>39</v>
      </c>
      <c r="G23" s="12">
        <v>7</v>
      </c>
      <c r="H23" s="13">
        <v>3598.62</v>
      </c>
      <c r="I23" s="12">
        <v>0</v>
      </c>
      <c r="J23" s="13">
        <v>25190.34</v>
      </c>
      <c r="K23" s="13">
        <v>21000</v>
      </c>
      <c r="L23" s="13">
        <v>4190.34</v>
      </c>
      <c r="M23" s="11" t="s">
        <v>40</v>
      </c>
      <c r="N23" s="11" t="s">
        <v>30</v>
      </c>
      <c r="O23" s="14" t="s">
        <v>99</v>
      </c>
    </row>
    <row r="24" spans="1:15">
      <c r="A24" s="7" t="s">
        <v>100</v>
      </c>
      <c r="B24" s="7" t="s">
        <v>101</v>
      </c>
      <c r="C24" s="7" t="s">
        <v>34</v>
      </c>
      <c r="D24" s="7" t="s">
        <v>51</v>
      </c>
      <c r="E24" s="7" t="s">
        <v>19</v>
      </c>
      <c r="F24" s="7" t="s">
        <v>20</v>
      </c>
      <c r="G24" s="8">
        <v>4</v>
      </c>
      <c r="H24" s="9">
        <v>1435.08</v>
      </c>
      <c r="I24" s="8">
        <v>0</v>
      </c>
      <c r="J24" s="9">
        <v>5740.32</v>
      </c>
      <c r="K24" s="9">
        <v>4200</v>
      </c>
      <c r="L24" s="9">
        <v>1540.32</v>
      </c>
      <c r="M24" s="7" t="s">
        <v>29</v>
      </c>
      <c r="N24" s="7" t="s">
        <v>30</v>
      </c>
      <c r="O24" s="10" t="s">
        <v>48</v>
      </c>
    </row>
    <row r="25" spans="1:15">
      <c r="A25" s="11" t="s">
        <v>102</v>
      </c>
      <c r="B25" s="11" t="s">
        <v>103</v>
      </c>
      <c r="C25" s="11" t="s">
        <v>26</v>
      </c>
      <c r="D25" s="11" t="s">
        <v>44</v>
      </c>
      <c r="E25" s="11" t="s">
        <v>71</v>
      </c>
      <c r="F25" s="11" t="s">
        <v>63</v>
      </c>
      <c r="G25" s="12">
        <v>1</v>
      </c>
      <c r="H25" s="13">
        <v>343.85</v>
      </c>
      <c r="I25" s="12">
        <v>0.1</v>
      </c>
      <c r="J25" s="13">
        <v>309.47000000000003</v>
      </c>
      <c r="K25" s="13">
        <v>180</v>
      </c>
      <c r="L25" s="13">
        <v>129.47</v>
      </c>
      <c r="M25" s="11" t="s">
        <v>40</v>
      </c>
      <c r="N25" s="11" t="s">
        <v>72</v>
      </c>
      <c r="O25" s="14" t="s">
        <v>73</v>
      </c>
    </row>
    <row r="26" spans="1:15">
      <c r="A26" s="7" t="s">
        <v>104</v>
      </c>
      <c r="B26" s="7" t="s">
        <v>105</v>
      </c>
      <c r="C26" s="7" t="s">
        <v>70</v>
      </c>
      <c r="D26" s="7" t="s">
        <v>18</v>
      </c>
      <c r="E26" s="7" t="s">
        <v>58</v>
      </c>
      <c r="F26" s="7" t="s">
        <v>59</v>
      </c>
      <c r="G26" s="8">
        <v>2</v>
      </c>
      <c r="H26" s="9">
        <v>534.70000000000005</v>
      </c>
      <c r="I26" s="8">
        <v>0.15</v>
      </c>
      <c r="J26" s="9">
        <v>908.99</v>
      </c>
      <c r="K26" s="9">
        <v>700</v>
      </c>
      <c r="L26" s="9">
        <v>208.99</v>
      </c>
      <c r="M26" s="7" t="s">
        <v>47</v>
      </c>
      <c r="N26" s="7" t="s">
        <v>72</v>
      </c>
      <c r="O26" s="10" t="s">
        <v>35</v>
      </c>
    </row>
    <row r="27" spans="1:15">
      <c r="A27" s="11" t="s">
        <v>106</v>
      </c>
      <c r="B27" s="11" t="s">
        <v>107</v>
      </c>
      <c r="C27" s="11" t="s">
        <v>70</v>
      </c>
      <c r="D27" s="11" t="s">
        <v>18</v>
      </c>
      <c r="E27" s="11" t="s">
        <v>38</v>
      </c>
      <c r="F27" s="11" t="s">
        <v>39</v>
      </c>
      <c r="G27" s="12">
        <v>7</v>
      </c>
      <c r="H27" s="13">
        <v>3735.87</v>
      </c>
      <c r="I27" s="12">
        <v>0.1</v>
      </c>
      <c r="J27" s="13">
        <v>23535.98</v>
      </c>
      <c r="K27" s="13">
        <v>21000</v>
      </c>
      <c r="L27" s="13">
        <v>2535.98</v>
      </c>
      <c r="M27" s="11" t="s">
        <v>29</v>
      </c>
      <c r="N27" s="11" t="s">
        <v>72</v>
      </c>
      <c r="O27" s="14" t="s">
        <v>35</v>
      </c>
    </row>
    <row r="28" spans="1:15">
      <c r="A28" s="7" t="s">
        <v>108</v>
      </c>
      <c r="B28" s="7" t="s">
        <v>109</v>
      </c>
      <c r="C28" s="7" t="s">
        <v>17</v>
      </c>
      <c r="D28" s="7" t="s">
        <v>44</v>
      </c>
      <c r="E28" s="7" t="s">
        <v>110</v>
      </c>
      <c r="F28" s="7" t="s">
        <v>46</v>
      </c>
      <c r="G28" s="8">
        <v>2</v>
      </c>
      <c r="H28" s="9">
        <v>433.78</v>
      </c>
      <c r="I28" s="8">
        <v>0</v>
      </c>
      <c r="J28" s="9">
        <v>867.56</v>
      </c>
      <c r="K28" s="9">
        <v>600</v>
      </c>
      <c r="L28" s="9">
        <v>267.56</v>
      </c>
      <c r="M28" s="7" t="s">
        <v>40</v>
      </c>
      <c r="N28" s="7" t="s">
        <v>22</v>
      </c>
      <c r="O28" s="10" t="s">
        <v>67</v>
      </c>
    </row>
    <row r="29" spans="1:15">
      <c r="A29" s="11" t="s">
        <v>111</v>
      </c>
      <c r="B29" s="11" t="s">
        <v>112</v>
      </c>
      <c r="C29" s="11" t="s">
        <v>34</v>
      </c>
      <c r="D29" s="11" t="s">
        <v>80</v>
      </c>
      <c r="E29" s="11" t="s">
        <v>52</v>
      </c>
      <c r="F29" s="11" t="s">
        <v>39</v>
      </c>
      <c r="G29" s="12">
        <v>2</v>
      </c>
      <c r="H29" s="13">
        <v>4416.18</v>
      </c>
      <c r="I29" s="12">
        <v>0</v>
      </c>
      <c r="J29" s="13">
        <v>8832.36</v>
      </c>
      <c r="K29" s="13">
        <v>6400</v>
      </c>
      <c r="L29" s="13">
        <v>2432.36</v>
      </c>
      <c r="M29" s="11" t="s">
        <v>21</v>
      </c>
      <c r="N29" s="11" t="s">
        <v>72</v>
      </c>
      <c r="O29" s="14" t="s">
        <v>48</v>
      </c>
    </row>
    <row r="30" spans="1:15">
      <c r="A30" s="7" t="s">
        <v>113</v>
      </c>
      <c r="B30" s="7" t="s">
        <v>114</v>
      </c>
      <c r="C30" s="7" t="s">
        <v>43</v>
      </c>
      <c r="D30" s="7" t="s">
        <v>27</v>
      </c>
      <c r="E30" s="7" t="s">
        <v>52</v>
      </c>
      <c r="F30" s="7" t="s">
        <v>39</v>
      </c>
      <c r="G30" s="8">
        <v>1</v>
      </c>
      <c r="H30" s="9">
        <v>4406.8100000000004</v>
      </c>
      <c r="I30" s="8">
        <v>0</v>
      </c>
      <c r="J30" s="9">
        <v>4406.8100000000004</v>
      </c>
      <c r="K30" s="9">
        <v>3200</v>
      </c>
      <c r="L30" s="9">
        <v>1206.81</v>
      </c>
      <c r="M30" s="7" t="s">
        <v>29</v>
      </c>
      <c r="N30" s="7" t="s">
        <v>22</v>
      </c>
      <c r="O30" s="10" t="s">
        <v>67</v>
      </c>
    </row>
    <row r="31" spans="1:15">
      <c r="A31" s="11" t="s">
        <v>115</v>
      </c>
      <c r="B31" s="11" t="s">
        <v>116</v>
      </c>
      <c r="C31" s="11" t="s">
        <v>17</v>
      </c>
      <c r="D31" s="11" t="s">
        <v>51</v>
      </c>
      <c r="E31" s="11" t="s">
        <v>45</v>
      </c>
      <c r="F31" s="11" t="s">
        <v>46</v>
      </c>
      <c r="G31" s="12">
        <v>2</v>
      </c>
      <c r="H31" s="13">
        <v>363.63</v>
      </c>
      <c r="I31" s="12">
        <v>0.1</v>
      </c>
      <c r="J31" s="13">
        <v>654.53</v>
      </c>
      <c r="K31" s="13">
        <v>440</v>
      </c>
      <c r="L31" s="13">
        <v>214.53</v>
      </c>
      <c r="M31" s="11" t="s">
        <v>47</v>
      </c>
      <c r="N31" s="11" t="s">
        <v>30</v>
      </c>
      <c r="O31" s="14" t="s">
        <v>23</v>
      </c>
    </row>
    <row r="32" spans="1:15">
      <c r="A32" s="7" t="s">
        <v>117</v>
      </c>
      <c r="B32" s="7" t="s">
        <v>118</v>
      </c>
      <c r="C32" s="7" t="s">
        <v>34</v>
      </c>
      <c r="D32" s="7" t="s">
        <v>27</v>
      </c>
      <c r="E32" s="7" t="s">
        <v>28</v>
      </c>
      <c r="F32" s="7" t="s">
        <v>20</v>
      </c>
      <c r="G32" s="8">
        <v>10</v>
      </c>
      <c r="H32" s="9">
        <v>874.33</v>
      </c>
      <c r="I32" s="8">
        <v>0.15</v>
      </c>
      <c r="J32" s="9">
        <v>7431.81</v>
      </c>
      <c r="K32" s="9">
        <v>6500</v>
      </c>
      <c r="L32" s="9">
        <v>931.81</v>
      </c>
      <c r="M32" s="7" t="s">
        <v>40</v>
      </c>
      <c r="N32" s="7" t="s">
        <v>72</v>
      </c>
      <c r="O32" s="10" t="s">
        <v>35</v>
      </c>
    </row>
    <row r="33" spans="1:15">
      <c r="A33" s="11" t="s">
        <v>119</v>
      </c>
      <c r="B33" s="11" t="s">
        <v>120</v>
      </c>
      <c r="C33" s="11" t="s">
        <v>26</v>
      </c>
      <c r="D33" s="11" t="s">
        <v>18</v>
      </c>
      <c r="E33" s="11" t="s">
        <v>121</v>
      </c>
      <c r="F33" s="11" t="s">
        <v>122</v>
      </c>
      <c r="G33" s="12">
        <v>4</v>
      </c>
      <c r="H33" s="13">
        <v>258.89999999999998</v>
      </c>
      <c r="I33" s="12">
        <v>0.05</v>
      </c>
      <c r="J33" s="13">
        <v>983.82</v>
      </c>
      <c r="K33" s="13">
        <v>560</v>
      </c>
      <c r="L33" s="13">
        <v>423.82</v>
      </c>
      <c r="M33" s="11" t="s">
        <v>29</v>
      </c>
      <c r="N33" s="11" t="s">
        <v>22</v>
      </c>
      <c r="O33" s="14" t="s">
        <v>73</v>
      </c>
    </row>
    <row r="34" spans="1:15">
      <c r="A34" s="7" t="s">
        <v>123</v>
      </c>
      <c r="B34" s="7" t="s">
        <v>124</v>
      </c>
      <c r="C34" s="7" t="s">
        <v>34</v>
      </c>
      <c r="D34" s="7" t="s">
        <v>18</v>
      </c>
      <c r="E34" s="7" t="s">
        <v>38</v>
      </c>
      <c r="F34" s="7" t="s">
        <v>39</v>
      </c>
      <c r="G34" s="8">
        <v>4</v>
      </c>
      <c r="H34" s="9">
        <v>3915.29</v>
      </c>
      <c r="I34" s="8">
        <v>0.15</v>
      </c>
      <c r="J34" s="9">
        <v>13311.99</v>
      </c>
      <c r="K34" s="9">
        <v>12000</v>
      </c>
      <c r="L34" s="9">
        <v>1311.99</v>
      </c>
      <c r="M34" s="7" t="s">
        <v>40</v>
      </c>
      <c r="N34" s="7" t="s">
        <v>30</v>
      </c>
      <c r="O34" s="10" t="s">
        <v>99</v>
      </c>
    </row>
    <row r="35" spans="1:15">
      <c r="A35" s="11" t="s">
        <v>125</v>
      </c>
      <c r="B35" s="11" t="s">
        <v>126</v>
      </c>
      <c r="C35" s="11" t="s">
        <v>34</v>
      </c>
      <c r="D35" s="11" t="s">
        <v>27</v>
      </c>
      <c r="E35" s="11" t="s">
        <v>71</v>
      </c>
      <c r="F35" s="11" t="s">
        <v>63</v>
      </c>
      <c r="G35" s="12">
        <v>2</v>
      </c>
      <c r="H35" s="13">
        <v>313.95999999999998</v>
      </c>
      <c r="I35" s="12">
        <v>0.1</v>
      </c>
      <c r="J35" s="13">
        <v>565.13</v>
      </c>
      <c r="K35" s="13">
        <v>360</v>
      </c>
      <c r="L35" s="13">
        <v>205.13</v>
      </c>
      <c r="M35" s="11" t="s">
        <v>47</v>
      </c>
      <c r="N35" s="11" t="s">
        <v>72</v>
      </c>
      <c r="O35" s="14" t="s">
        <v>64</v>
      </c>
    </row>
    <row r="36" spans="1:15">
      <c r="A36" s="7" t="s">
        <v>127</v>
      </c>
      <c r="B36" s="7" t="s">
        <v>128</v>
      </c>
      <c r="C36" s="7" t="s">
        <v>34</v>
      </c>
      <c r="D36" s="7" t="s">
        <v>51</v>
      </c>
      <c r="E36" s="7" t="s">
        <v>110</v>
      </c>
      <c r="F36" s="7" t="s">
        <v>46</v>
      </c>
      <c r="G36" s="8">
        <v>6</v>
      </c>
      <c r="H36" s="9">
        <v>484.68</v>
      </c>
      <c r="I36" s="8">
        <v>0.1</v>
      </c>
      <c r="J36" s="9">
        <v>2617.27</v>
      </c>
      <c r="K36" s="9">
        <v>1800</v>
      </c>
      <c r="L36" s="9">
        <v>817.27</v>
      </c>
      <c r="M36" s="7" t="s">
        <v>21</v>
      </c>
      <c r="N36" s="7" t="s">
        <v>30</v>
      </c>
      <c r="O36" s="10" t="s">
        <v>73</v>
      </c>
    </row>
    <row r="37" spans="1:15">
      <c r="A37" s="11" t="s">
        <v>129</v>
      </c>
      <c r="B37" s="11" t="s">
        <v>130</v>
      </c>
      <c r="C37" s="11" t="s">
        <v>26</v>
      </c>
      <c r="D37" s="11" t="s">
        <v>80</v>
      </c>
      <c r="E37" s="11" t="s">
        <v>52</v>
      </c>
      <c r="F37" s="11" t="s">
        <v>39</v>
      </c>
      <c r="G37" s="12">
        <v>12</v>
      </c>
      <c r="H37" s="13">
        <v>4184.53</v>
      </c>
      <c r="I37" s="12">
        <v>0.15</v>
      </c>
      <c r="J37" s="13">
        <v>42682.21</v>
      </c>
      <c r="K37" s="13">
        <v>38400</v>
      </c>
      <c r="L37" s="13">
        <v>4282.21</v>
      </c>
      <c r="M37" s="11" t="s">
        <v>40</v>
      </c>
      <c r="N37" s="11" t="s">
        <v>22</v>
      </c>
      <c r="O37" s="14" t="s">
        <v>48</v>
      </c>
    </row>
    <row r="38" spans="1:15">
      <c r="A38" s="7" t="s">
        <v>131</v>
      </c>
      <c r="B38" s="7" t="s">
        <v>132</v>
      </c>
      <c r="C38" s="7" t="s">
        <v>70</v>
      </c>
      <c r="D38" s="7" t="s">
        <v>51</v>
      </c>
      <c r="E38" s="7" t="s">
        <v>58</v>
      </c>
      <c r="F38" s="7" t="s">
        <v>59</v>
      </c>
      <c r="G38" s="8">
        <v>5</v>
      </c>
      <c r="H38" s="9">
        <v>492.47</v>
      </c>
      <c r="I38" s="8">
        <v>0.05</v>
      </c>
      <c r="J38" s="9">
        <v>2339.23</v>
      </c>
      <c r="K38" s="9">
        <v>1750</v>
      </c>
      <c r="L38" s="9">
        <v>589.23</v>
      </c>
      <c r="M38" s="7" t="s">
        <v>21</v>
      </c>
      <c r="N38" s="7" t="s">
        <v>22</v>
      </c>
      <c r="O38" s="10" t="s">
        <v>94</v>
      </c>
    </row>
    <row r="39" spans="1:15">
      <c r="A39" s="11" t="s">
        <v>133</v>
      </c>
      <c r="B39" s="11" t="s">
        <v>134</v>
      </c>
      <c r="C39" s="11" t="s">
        <v>17</v>
      </c>
      <c r="D39" s="11" t="s">
        <v>18</v>
      </c>
      <c r="E39" s="11" t="s">
        <v>52</v>
      </c>
      <c r="F39" s="11" t="s">
        <v>39</v>
      </c>
      <c r="G39" s="12">
        <v>2</v>
      </c>
      <c r="H39" s="13">
        <v>4300.18</v>
      </c>
      <c r="I39" s="12">
        <v>0.05</v>
      </c>
      <c r="J39" s="13">
        <v>8170.34</v>
      </c>
      <c r="K39" s="13">
        <v>6400</v>
      </c>
      <c r="L39" s="13">
        <v>1770.34</v>
      </c>
      <c r="M39" s="11" t="s">
        <v>21</v>
      </c>
      <c r="N39" s="11" t="s">
        <v>72</v>
      </c>
      <c r="O39" s="14" t="s">
        <v>67</v>
      </c>
    </row>
    <row r="40" spans="1:15">
      <c r="A40" s="7" t="s">
        <v>135</v>
      </c>
      <c r="B40" s="7" t="s">
        <v>136</v>
      </c>
      <c r="C40" s="7" t="s">
        <v>17</v>
      </c>
      <c r="D40" s="7" t="s">
        <v>80</v>
      </c>
      <c r="E40" s="7" t="s">
        <v>71</v>
      </c>
      <c r="F40" s="7" t="s">
        <v>63</v>
      </c>
      <c r="G40" s="8">
        <v>2</v>
      </c>
      <c r="H40" s="9">
        <v>302.12</v>
      </c>
      <c r="I40" s="8">
        <v>0</v>
      </c>
      <c r="J40" s="9">
        <v>604.24</v>
      </c>
      <c r="K40" s="9">
        <v>360</v>
      </c>
      <c r="L40" s="9">
        <v>244.24</v>
      </c>
      <c r="M40" s="7" t="s">
        <v>21</v>
      </c>
      <c r="N40" s="7" t="s">
        <v>22</v>
      </c>
      <c r="O40" s="10" t="s">
        <v>67</v>
      </c>
    </row>
    <row r="41" spans="1:15">
      <c r="A41" s="11" t="s">
        <v>137</v>
      </c>
      <c r="B41" s="11" t="s">
        <v>138</v>
      </c>
      <c r="C41" s="11" t="s">
        <v>57</v>
      </c>
      <c r="D41" s="11" t="s">
        <v>18</v>
      </c>
      <c r="E41" s="11" t="s">
        <v>62</v>
      </c>
      <c r="F41" s="11" t="s">
        <v>63</v>
      </c>
      <c r="G41" s="12">
        <v>6</v>
      </c>
      <c r="H41" s="13">
        <v>169.38</v>
      </c>
      <c r="I41" s="12">
        <v>0.15</v>
      </c>
      <c r="J41" s="13">
        <v>863.84</v>
      </c>
      <c r="K41" s="13">
        <v>540</v>
      </c>
      <c r="L41" s="13">
        <v>323.83999999999997</v>
      </c>
      <c r="M41" s="11" t="s">
        <v>40</v>
      </c>
      <c r="N41" s="11" t="s">
        <v>72</v>
      </c>
      <c r="O41" s="14" t="s">
        <v>35</v>
      </c>
    </row>
    <row r="42" spans="1:15">
      <c r="A42" s="7" t="s">
        <v>139</v>
      </c>
      <c r="B42" s="7" t="s">
        <v>140</v>
      </c>
      <c r="C42" s="7" t="s">
        <v>34</v>
      </c>
      <c r="D42" s="7" t="s">
        <v>51</v>
      </c>
      <c r="E42" s="7" t="s">
        <v>110</v>
      </c>
      <c r="F42" s="7" t="s">
        <v>46</v>
      </c>
      <c r="G42" s="8">
        <v>3</v>
      </c>
      <c r="H42" s="9">
        <v>419.5</v>
      </c>
      <c r="I42" s="8">
        <v>0.1</v>
      </c>
      <c r="J42" s="9">
        <v>1132.6500000000001</v>
      </c>
      <c r="K42" s="9">
        <v>900</v>
      </c>
      <c r="L42" s="9">
        <v>232.65</v>
      </c>
      <c r="M42" s="7" t="s">
        <v>40</v>
      </c>
      <c r="N42" s="7" t="s">
        <v>30</v>
      </c>
      <c r="O42" s="10" t="s">
        <v>64</v>
      </c>
    </row>
    <row r="43" spans="1:15">
      <c r="A43" s="11" t="s">
        <v>141</v>
      </c>
      <c r="B43" s="11" t="s">
        <v>142</v>
      </c>
      <c r="C43" s="11" t="s">
        <v>34</v>
      </c>
      <c r="D43" s="11" t="s">
        <v>18</v>
      </c>
      <c r="E43" s="11" t="s">
        <v>52</v>
      </c>
      <c r="F43" s="11" t="s">
        <v>39</v>
      </c>
      <c r="G43" s="12">
        <v>10</v>
      </c>
      <c r="H43" s="13">
        <v>4076.79</v>
      </c>
      <c r="I43" s="12">
        <v>0.1</v>
      </c>
      <c r="J43" s="13">
        <v>36691.11</v>
      </c>
      <c r="K43" s="13">
        <v>32000</v>
      </c>
      <c r="L43" s="13">
        <v>4691.1099999999997</v>
      </c>
      <c r="M43" s="11" t="s">
        <v>40</v>
      </c>
      <c r="N43" s="11" t="s">
        <v>22</v>
      </c>
      <c r="O43" s="14" t="s">
        <v>48</v>
      </c>
    </row>
    <row r="44" spans="1:15">
      <c r="A44" s="7" t="s">
        <v>143</v>
      </c>
      <c r="B44" s="7" t="s">
        <v>144</v>
      </c>
      <c r="C44" s="7" t="s">
        <v>34</v>
      </c>
      <c r="D44" s="7" t="s">
        <v>51</v>
      </c>
      <c r="E44" s="7" t="s">
        <v>121</v>
      </c>
      <c r="F44" s="7" t="s">
        <v>122</v>
      </c>
      <c r="G44" s="8">
        <v>6</v>
      </c>
      <c r="H44" s="9">
        <v>254.96</v>
      </c>
      <c r="I44" s="8">
        <v>0.15</v>
      </c>
      <c r="J44" s="9">
        <v>1300.3</v>
      </c>
      <c r="K44" s="9">
        <v>840</v>
      </c>
      <c r="L44" s="9">
        <v>460.3</v>
      </c>
      <c r="M44" s="7" t="s">
        <v>47</v>
      </c>
      <c r="N44" s="7" t="s">
        <v>22</v>
      </c>
      <c r="O44" s="10" t="s">
        <v>94</v>
      </c>
    </row>
    <row r="45" spans="1:15">
      <c r="A45" s="11" t="s">
        <v>145</v>
      </c>
      <c r="B45" s="11" t="s">
        <v>146</v>
      </c>
      <c r="C45" s="11" t="s">
        <v>70</v>
      </c>
      <c r="D45" s="11" t="s">
        <v>44</v>
      </c>
      <c r="E45" s="11" t="s">
        <v>19</v>
      </c>
      <c r="F45" s="11" t="s">
        <v>20</v>
      </c>
      <c r="G45" s="12">
        <v>7</v>
      </c>
      <c r="H45" s="13">
        <v>1546.96</v>
      </c>
      <c r="I45" s="12">
        <v>0</v>
      </c>
      <c r="J45" s="13">
        <v>10828.72</v>
      </c>
      <c r="K45" s="13">
        <v>7350</v>
      </c>
      <c r="L45" s="13">
        <v>3478.72</v>
      </c>
      <c r="M45" s="11" t="s">
        <v>53</v>
      </c>
      <c r="N45" s="11" t="s">
        <v>30</v>
      </c>
      <c r="O45" s="14" t="s">
        <v>73</v>
      </c>
    </row>
    <row r="46" spans="1:15">
      <c r="A46" s="7" t="s">
        <v>147</v>
      </c>
      <c r="B46" s="7" t="s">
        <v>148</v>
      </c>
      <c r="C46" s="7" t="s">
        <v>34</v>
      </c>
      <c r="D46" s="7" t="s">
        <v>80</v>
      </c>
      <c r="E46" s="7" t="s">
        <v>62</v>
      </c>
      <c r="F46" s="7" t="s">
        <v>63</v>
      </c>
      <c r="G46" s="8">
        <v>10</v>
      </c>
      <c r="H46" s="9">
        <v>169.2</v>
      </c>
      <c r="I46" s="8">
        <v>0</v>
      </c>
      <c r="J46" s="9">
        <v>1692</v>
      </c>
      <c r="K46" s="9">
        <v>900</v>
      </c>
      <c r="L46" s="9">
        <v>792</v>
      </c>
      <c r="M46" s="7" t="s">
        <v>21</v>
      </c>
      <c r="N46" s="7" t="s">
        <v>30</v>
      </c>
      <c r="O46" s="10" t="s">
        <v>35</v>
      </c>
    </row>
    <row r="47" spans="1:15">
      <c r="A47" s="11" t="s">
        <v>149</v>
      </c>
      <c r="B47" s="11" t="s">
        <v>150</v>
      </c>
      <c r="C47" s="11" t="s">
        <v>26</v>
      </c>
      <c r="D47" s="11" t="s">
        <v>44</v>
      </c>
      <c r="E47" s="11" t="s">
        <v>62</v>
      </c>
      <c r="F47" s="11" t="s">
        <v>63</v>
      </c>
      <c r="G47" s="12">
        <v>6</v>
      </c>
      <c r="H47" s="13">
        <v>166.85</v>
      </c>
      <c r="I47" s="12">
        <v>0.05</v>
      </c>
      <c r="J47" s="13">
        <v>951.04</v>
      </c>
      <c r="K47" s="13">
        <v>540</v>
      </c>
      <c r="L47" s="13">
        <v>411.04</v>
      </c>
      <c r="M47" s="11" t="s">
        <v>21</v>
      </c>
      <c r="N47" s="11" t="s">
        <v>72</v>
      </c>
      <c r="O47" s="14" t="s">
        <v>67</v>
      </c>
    </row>
    <row r="48" spans="1:15">
      <c r="A48" s="7" t="s">
        <v>151</v>
      </c>
      <c r="B48" s="7" t="s">
        <v>152</v>
      </c>
      <c r="C48" s="7" t="s">
        <v>70</v>
      </c>
      <c r="D48" s="7" t="s">
        <v>44</v>
      </c>
      <c r="E48" s="7" t="s">
        <v>71</v>
      </c>
      <c r="F48" s="7" t="s">
        <v>63</v>
      </c>
      <c r="G48" s="8">
        <v>10</v>
      </c>
      <c r="H48" s="9">
        <v>324.63</v>
      </c>
      <c r="I48" s="8">
        <v>0</v>
      </c>
      <c r="J48" s="9">
        <v>3246.3</v>
      </c>
      <c r="K48" s="9">
        <v>1800</v>
      </c>
      <c r="L48" s="9">
        <v>1446.3</v>
      </c>
      <c r="M48" s="7" t="s">
        <v>21</v>
      </c>
      <c r="N48" s="7" t="s">
        <v>72</v>
      </c>
      <c r="O48" s="10" t="s">
        <v>48</v>
      </c>
    </row>
    <row r="49" spans="1:15">
      <c r="A49" s="11" t="s">
        <v>153</v>
      </c>
      <c r="B49" s="11" t="s">
        <v>154</v>
      </c>
      <c r="C49" s="11" t="s">
        <v>34</v>
      </c>
      <c r="D49" s="11" t="s">
        <v>80</v>
      </c>
      <c r="E49" s="11" t="s">
        <v>52</v>
      </c>
      <c r="F49" s="11" t="s">
        <v>39</v>
      </c>
      <c r="G49" s="12">
        <v>10</v>
      </c>
      <c r="H49" s="13">
        <v>4126.24</v>
      </c>
      <c r="I49" s="12">
        <v>0</v>
      </c>
      <c r="J49" s="13">
        <v>41262.400000000001</v>
      </c>
      <c r="K49" s="13">
        <v>32000</v>
      </c>
      <c r="L49" s="13">
        <v>9262.4</v>
      </c>
      <c r="M49" s="11" t="s">
        <v>29</v>
      </c>
      <c r="N49" s="11" t="s">
        <v>72</v>
      </c>
      <c r="O49" s="14" t="s">
        <v>48</v>
      </c>
    </row>
    <row r="50" spans="1:15">
      <c r="A50" s="7" t="s">
        <v>155</v>
      </c>
      <c r="B50" s="7" t="s">
        <v>156</v>
      </c>
      <c r="C50" s="7" t="s">
        <v>26</v>
      </c>
      <c r="D50" s="7" t="s">
        <v>27</v>
      </c>
      <c r="E50" s="7" t="s">
        <v>52</v>
      </c>
      <c r="F50" s="7" t="s">
        <v>39</v>
      </c>
      <c r="G50" s="8">
        <v>12</v>
      </c>
      <c r="H50" s="9">
        <v>4502.8500000000004</v>
      </c>
      <c r="I50" s="8">
        <v>0.1</v>
      </c>
      <c r="J50" s="9">
        <v>48630.78</v>
      </c>
      <c r="K50" s="9">
        <v>38400</v>
      </c>
      <c r="L50" s="9">
        <v>10230.780000000001</v>
      </c>
      <c r="M50" s="7" t="s">
        <v>29</v>
      </c>
      <c r="N50" s="7" t="s">
        <v>72</v>
      </c>
      <c r="O50" s="10" t="s">
        <v>35</v>
      </c>
    </row>
    <row r="51" spans="1:15">
      <c r="A51" s="11" t="s">
        <v>157</v>
      </c>
      <c r="B51" s="11" t="s">
        <v>16</v>
      </c>
      <c r="C51" s="11" t="s">
        <v>26</v>
      </c>
      <c r="D51" s="11" t="s">
        <v>27</v>
      </c>
      <c r="E51" s="11" t="s">
        <v>58</v>
      </c>
      <c r="F51" s="11" t="s">
        <v>59</v>
      </c>
      <c r="G51" s="12">
        <v>10</v>
      </c>
      <c r="H51" s="13">
        <v>480.67</v>
      </c>
      <c r="I51" s="12">
        <v>0</v>
      </c>
      <c r="J51" s="13">
        <v>4806.7</v>
      </c>
      <c r="K51" s="13">
        <v>3500</v>
      </c>
      <c r="L51" s="13">
        <v>1306.7</v>
      </c>
      <c r="M51" s="11" t="s">
        <v>21</v>
      </c>
      <c r="N51" s="11" t="s">
        <v>30</v>
      </c>
      <c r="O51" s="14" t="s">
        <v>99</v>
      </c>
    </row>
    <row r="52" spans="1:15">
      <c r="A52" s="7" t="s">
        <v>158</v>
      </c>
      <c r="B52" s="7" t="s">
        <v>159</v>
      </c>
      <c r="C52" s="7" t="s">
        <v>57</v>
      </c>
      <c r="D52" s="7" t="s">
        <v>27</v>
      </c>
      <c r="E52" s="7" t="s">
        <v>58</v>
      </c>
      <c r="F52" s="7" t="s">
        <v>59</v>
      </c>
      <c r="G52" s="8">
        <v>12</v>
      </c>
      <c r="H52" s="9">
        <v>535.45000000000005</v>
      </c>
      <c r="I52" s="8">
        <v>0.15</v>
      </c>
      <c r="J52" s="9">
        <v>5461.59</v>
      </c>
      <c r="K52" s="9">
        <v>4200</v>
      </c>
      <c r="L52" s="9">
        <v>1261.5899999999999</v>
      </c>
      <c r="M52" s="7" t="s">
        <v>53</v>
      </c>
      <c r="N52" s="7" t="s">
        <v>72</v>
      </c>
      <c r="O52" s="10" t="s">
        <v>48</v>
      </c>
    </row>
    <row r="53" spans="1:15">
      <c r="A53" s="11" t="s">
        <v>160</v>
      </c>
      <c r="B53" s="11" t="s">
        <v>161</v>
      </c>
      <c r="C53" s="11" t="s">
        <v>34</v>
      </c>
      <c r="D53" s="11" t="s">
        <v>51</v>
      </c>
      <c r="E53" s="11" t="s">
        <v>52</v>
      </c>
      <c r="F53" s="11" t="s">
        <v>39</v>
      </c>
      <c r="G53" s="12">
        <v>1</v>
      </c>
      <c r="H53" s="13">
        <v>4099.03</v>
      </c>
      <c r="I53" s="12">
        <v>0.15</v>
      </c>
      <c r="J53" s="13">
        <v>3484.18</v>
      </c>
      <c r="K53" s="13">
        <v>3200</v>
      </c>
      <c r="L53" s="13">
        <v>284.18</v>
      </c>
      <c r="M53" s="11" t="s">
        <v>21</v>
      </c>
      <c r="N53" s="11" t="s">
        <v>30</v>
      </c>
      <c r="O53" s="14" t="s">
        <v>64</v>
      </c>
    </row>
    <row r="54" spans="1:15">
      <c r="A54" s="7" t="s">
        <v>162</v>
      </c>
      <c r="B54" s="7" t="s">
        <v>163</v>
      </c>
      <c r="C54" s="7" t="s">
        <v>34</v>
      </c>
      <c r="D54" s="7" t="s">
        <v>18</v>
      </c>
      <c r="E54" s="7" t="s">
        <v>71</v>
      </c>
      <c r="F54" s="7" t="s">
        <v>63</v>
      </c>
      <c r="G54" s="8">
        <v>5</v>
      </c>
      <c r="H54" s="9">
        <v>316.98</v>
      </c>
      <c r="I54" s="8">
        <v>0</v>
      </c>
      <c r="J54" s="9">
        <v>1584.9</v>
      </c>
      <c r="K54" s="9">
        <v>900</v>
      </c>
      <c r="L54" s="9">
        <v>684.9</v>
      </c>
      <c r="M54" s="7" t="s">
        <v>21</v>
      </c>
      <c r="N54" s="7" t="s">
        <v>30</v>
      </c>
      <c r="O54" s="10" t="s">
        <v>23</v>
      </c>
    </row>
    <row r="55" spans="1:15">
      <c r="A55" s="11" t="s">
        <v>164</v>
      </c>
      <c r="B55" s="11" t="s">
        <v>165</v>
      </c>
      <c r="C55" s="11" t="s">
        <v>26</v>
      </c>
      <c r="D55" s="11" t="s">
        <v>18</v>
      </c>
      <c r="E55" s="11" t="s">
        <v>19</v>
      </c>
      <c r="F55" s="11" t="s">
        <v>20</v>
      </c>
      <c r="G55" s="12">
        <v>5</v>
      </c>
      <c r="H55" s="13">
        <v>1517.1</v>
      </c>
      <c r="I55" s="12">
        <v>0</v>
      </c>
      <c r="J55" s="13">
        <v>7585.5</v>
      </c>
      <c r="K55" s="13">
        <v>5250</v>
      </c>
      <c r="L55" s="13">
        <v>2335.5</v>
      </c>
      <c r="M55" s="11" t="s">
        <v>47</v>
      </c>
      <c r="N55" s="11" t="s">
        <v>22</v>
      </c>
      <c r="O55" s="14" t="s">
        <v>94</v>
      </c>
    </row>
    <row r="56" spans="1:15">
      <c r="A56" s="7" t="s">
        <v>166</v>
      </c>
      <c r="B56" s="7" t="s">
        <v>167</v>
      </c>
      <c r="C56" s="7" t="s">
        <v>34</v>
      </c>
      <c r="D56" s="7" t="s">
        <v>18</v>
      </c>
      <c r="E56" s="7" t="s">
        <v>28</v>
      </c>
      <c r="F56" s="7" t="s">
        <v>20</v>
      </c>
      <c r="G56" s="8">
        <v>10</v>
      </c>
      <c r="H56" s="9">
        <v>940.36</v>
      </c>
      <c r="I56" s="8">
        <v>0</v>
      </c>
      <c r="J56" s="9">
        <v>9403.6</v>
      </c>
      <c r="K56" s="9">
        <v>6500</v>
      </c>
      <c r="L56" s="9">
        <v>2903.6</v>
      </c>
      <c r="M56" s="7" t="s">
        <v>47</v>
      </c>
      <c r="N56" s="7" t="s">
        <v>22</v>
      </c>
      <c r="O56" s="10" t="s">
        <v>48</v>
      </c>
    </row>
    <row r="57" spans="1:15">
      <c r="A57" s="11" t="s">
        <v>168</v>
      </c>
      <c r="B57" s="11" t="s">
        <v>169</v>
      </c>
      <c r="C57" s="11" t="s">
        <v>57</v>
      </c>
      <c r="D57" s="11" t="s">
        <v>80</v>
      </c>
      <c r="E57" s="11" t="s">
        <v>52</v>
      </c>
      <c r="F57" s="11" t="s">
        <v>39</v>
      </c>
      <c r="G57" s="12">
        <v>7</v>
      </c>
      <c r="H57" s="13">
        <v>3869.93</v>
      </c>
      <c r="I57" s="12">
        <v>0</v>
      </c>
      <c r="J57" s="13">
        <v>27089.51</v>
      </c>
      <c r="K57" s="13">
        <v>22400</v>
      </c>
      <c r="L57" s="13">
        <v>4689.51</v>
      </c>
      <c r="M57" s="11" t="s">
        <v>29</v>
      </c>
      <c r="N57" s="11" t="s">
        <v>30</v>
      </c>
      <c r="O57" s="14" t="s">
        <v>23</v>
      </c>
    </row>
    <row r="58" spans="1:15">
      <c r="A58" s="7" t="s">
        <v>170</v>
      </c>
      <c r="B58" s="7" t="s">
        <v>171</v>
      </c>
      <c r="C58" s="7" t="s">
        <v>57</v>
      </c>
      <c r="D58" s="7" t="s">
        <v>44</v>
      </c>
      <c r="E58" s="7" t="s">
        <v>19</v>
      </c>
      <c r="F58" s="7" t="s">
        <v>20</v>
      </c>
      <c r="G58" s="8">
        <v>7</v>
      </c>
      <c r="H58" s="9">
        <v>1514.04</v>
      </c>
      <c r="I58" s="8">
        <v>0.15</v>
      </c>
      <c r="J58" s="9">
        <v>9008.5400000000009</v>
      </c>
      <c r="K58" s="9">
        <v>7350</v>
      </c>
      <c r="L58" s="9">
        <v>1658.54</v>
      </c>
      <c r="M58" s="7" t="s">
        <v>53</v>
      </c>
      <c r="N58" s="7" t="s">
        <v>72</v>
      </c>
      <c r="O58" s="10" t="s">
        <v>67</v>
      </c>
    </row>
    <row r="59" spans="1:15">
      <c r="A59" s="11" t="s">
        <v>172</v>
      </c>
      <c r="B59" s="11" t="s">
        <v>173</v>
      </c>
      <c r="C59" s="11" t="s">
        <v>17</v>
      </c>
      <c r="D59" s="11" t="s">
        <v>18</v>
      </c>
      <c r="E59" s="11" t="s">
        <v>62</v>
      </c>
      <c r="F59" s="11" t="s">
        <v>63</v>
      </c>
      <c r="G59" s="12">
        <v>6</v>
      </c>
      <c r="H59" s="13">
        <v>194.48</v>
      </c>
      <c r="I59" s="12">
        <v>0</v>
      </c>
      <c r="J59" s="13">
        <v>1166.8800000000001</v>
      </c>
      <c r="K59" s="13">
        <v>540</v>
      </c>
      <c r="L59" s="13">
        <v>626.88</v>
      </c>
      <c r="M59" s="11" t="s">
        <v>47</v>
      </c>
      <c r="N59" s="11" t="s">
        <v>22</v>
      </c>
      <c r="O59" s="14" t="s">
        <v>54</v>
      </c>
    </row>
    <row r="60" spans="1:15">
      <c r="A60" s="7" t="s">
        <v>174</v>
      </c>
      <c r="B60" s="7" t="s">
        <v>175</v>
      </c>
      <c r="C60" s="7" t="s">
        <v>26</v>
      </c>
      <c r="D60" s="7" t="s">
        <v>18</v>
      </c>
      <c r="E60" s="7" t="s">
        <v>71</v>
      </c>
      <c r="F60" s="7" t="s">
        <v>63</v>
      </c>
      <c r="G60" s="8">
        <v>9</v>
      </c>
      <c r="H60" s="9">
        <v>301.92</v>
      </c>
      <c r="I60" s="8">
        <v>0</v>
      </c>
      <c r="J60" s="9">
        <v>2717.28</v>
      </c>
      <c r="K60" s="9">
        <v>1620</v>
      </c>
      <c r="L60" s="9">
        <v>1097.28</v>
      </c>
      <c r="M60" s="7" t="s">
        <v>53</v>
      </c>
      <c r="N60" s="7" t="s">
        <v>30</v>
      </c>
      <c r="O60" s="10" t="s">
        <v>48</v>
      </c>
    </row>
    <row r="61" spans="1:15">
      <c r="A61" s="11" t="s">
        <v>176</v>
      </c>
      <c r="B61" s="11" t="s">
        <v>177</v>
      </c>
      <c r="C61" s="11" t="s">
        <v>43</v>
      </c>
      <c r="D61" s="11" t="s">
        <v>51</v>
      </c>
      <c r="E61" s="11" t="s">
        <v>121</v>
      </c>
      <c r="F61" s="11" t="s">
        <v>122</v>
      </c>
      <c r="G61" s="12">
        <v>8</v>
      </c>
      <c r="H61" s="13">
        <v>246.83</v>
      </c>
      <c r="I61" s="12">
        <v>0</v>
      </c>
      <c r="J61" s="13">
        <v>1974.64</v>
      </c>
      <c r="K61" s="13">
        <v>1120</v>
      </c>
      <c r="L61" s="13">
        <v>854.64</v>
      </c>
      <c r="M61" s="11" t="s">
        <v>29</v>
      </c>
      <c r="N61" s="11" t="s">
        <v>30</v>
      </c>
      <c r="O61" s="14" t="s">
        <v>35</v>
      </c>
    </row>
    <row r="62" spans="1:15">
      <c r="A62" s="7" t="s">
        <v>178</v>
      </c>
      <c r="B62" s="7" t="s">
        <v>179</v>
      </c>
      <c r="C62" s="7" t="s">
        <v>70</v>
      </c>
      <c r="D62" s="7" t="s">
        <v>18</v>
      </c>
      <c r="E62" s="7" t="s">
        <v>52</v>
      </c>
      <c r="F62" s="7" t="s">
        <v>39</v>
      </c>
      <c r="G62" s="8">
        <v>11</v>
      </c>
      <c r="H62" s="9">
        <v>4268.17</v>
      </c>
      <c r="I62" s="8">
        <v>0.1</v>
      </c>
      <c r="J62" s="9">
        <v>42254.879999999997</v>
      </c>
      <c r="K62" s="9">
        <v>35200</v>
      </c>
      <c r="L62" s="9">
        <v>7054.88</v>
      </c>
      <c r="M62" s="7" t="s">
        <v>53</v>
      </c>
      <c r="N62" s="7" t="s">
        <v>72</v>
      </c>
      <c r="O62" s="10" t="s">
        <v>64</v>
      </c>
    </row>
    <row r="63" spans="1:15">
      <c r="A63" s="11" t="s">
        <v>180</v>
      </c>
      <c r="B63" s="11" t="s">
        <v>181</v>
      </c>
      <c r="C63" s="11" t="s">
        <v>43</v>
      </c>
      <c r="D63" s="11" t="s">
        <v>80</v>
      </c>
      <c r="E63" s="11" t="s">
        <v>45</v>
      </c>
      <c r="F63" s="11" t="s">
        <v>46</v>
      </c>
      <c r="G63" s="12">
        <v>6</v>
      </c>
      <c r="H63" s="13">
        <v>337.33</v>
      </c>
      <c r="I63" s="12">
        <v>0.15</v>
      </c>
      <c r="J63" s="13">
        <v>1720.38</v>
      </c>
      <c r="K63" s="13">
        <v>1320</v>
      </c>
      <c r="L63" s="13">
        <v>400.38</v>
      </c>
      <c r="M63" s="11" t="s">
        <v>40</v>
      </c>
      <c r="N63" s="11" t="s">
        <v>72</v>
      </c>
      <c r="O63" s="14" t="s">
        <v>35</v>
      </c>
    </row>
    <row r="64" spans="1:15">
      <c r="A64" s="7" t="s">
        <v>182</v>
      </c>
      <c r="B64" s="7" t="s">
        <v>183</v>
      </c>
      <c r="C64" s="7" t="s">
        <v>57</v>
      </c>
      <c r="D64" s="7" t="s">
        <v>27</v>
      </c>
      <c r="E64" s="7" t="s">
        <v>71</v>
      </c>
      <c r="F64" s="7" t="s">
        <v>63</v>
      </c>
      <c r="G64" s="8">
        <v>12</v>
      </c>
      <c r="H64" s="9">
        <v>322.06</v>
      </c>
      <c r="I64" s="8">
        <v>0</v>
      </c>
      <c r="J64" s="9">
        <v>3864.72</v>
      </c>
      <c r="K64" s="9">
        <v>2160</v>
      </c>
      <c r="L64" s="9">
        <v>1704.72</v>
      </c>
      <c r="M64" s="7" t="s">
        <v>47</v>
      </c>
      <c r="N64" s="7" t="s">
        <v>22</v>
      </c>
      <c r="O64" s="10" t="s">
        <v>94</v>
      </c>
    </row>
    <row r="65" spans="1:15">
      <c r="A65" s="11" t="s">
        <v>184</v>
      </c>
      <c r="B65" s="11" t="s">
        <v>185</v>
      </c>
      <c r="C65" s="11" t="s">
        <v>43</v>
      </c>
      <c r="D65" s="11" t="s">
        <v>27</v>
      </c>
      <c r="E65" s="11" t="s">
        <v>45</v>
      </c>
      <c r="F65" s="11" t="s">
        <v>46</v>
      </c>
      <c r="G65" s="12">
        <v>1</v>
      </c>
      <c r="H65" s="13">
        <v>322.82</v>
      </c>
      <c r="I65" s="12">
        <v>0</v>
      </c>
      <c r="J65" s="13">
        <v>322.82</v>
      </c>
      <c r="K65" s="13">
        <v>220</v>
      </c>
      <c r="L65" s="13">
        <v>102.82</v>
      </c>
      <c r="M65" s="11" t="s">
        <v>53</v>
      </c>
      <c r="N65" s="11" t="s">
        <v>30</v>
      </c>
      <c r="O65" s="14" t="s">
        <v>23</v>
      </c>
    </row>
    <row r="66" spans="1:15">
      <c r="A66" s="7" t="s">
        <v>186</v>
      </c>
      <c r="B66" s="7" t="s">
        <v>82</v>
      </c>
      <c r="C66" s="7" t="s">
        <v>43</v>
      </c>
      <c r="D66" s="7" t="s">
        <v>80</v>
      </c>
      <c r="E66" s="7" t="s">
        <v>28</v>
      </c>
      <c r="F66" s="7" t="s">
        <v>20</v>
      </c>
      <c r="G66" s="8">
        <v>11</v>
      </c>
      <c r="H66" s="9">
        <v>877.21</v>
      </c>
      <c r="I66" s="8">
        <v>0.1</v>
      </c>
      <c r="J66" s="9">
        <v>8684.3799999999992</v>
      </c>
      <c r="K66" s="9">
        <v>7150</v>
      </c>
      <c r="L66" s="9">
        <v>1534.38</v>
      </c>
      <c r="M66" s="7" t="s">
        <v>40</v>
      </c>
      <c r="N66" s="7" t="s">
        <v>72</v>
      </c>
      <c r="O66" s="10" t="s">
        <v>64</v>
      </c>
    </row>
    <row r="67" spans="1:15">
      <c r="A67" s="11" t="s">
        <v>187</v>
      </c>
      <c r="B67" s="11" t="s">
        <v>188</v>
      </c>
      <c r="C67" s="11" t="s">
        <v>26</v>
      </c>
      <c r="D67" s="11" t="s">
        <v>27</v>
      </c>
      <c r="E67" s="11" t="s">
        <v>28</v>
      </c>
      <c r="F67" s="11" t="s">
        <v>20</v>
      </c>
      <c r="G67" s="12">
        <v>8</v>
      </c>
      <c r="H67" s="13">
        <v>914.27</v>
      </c>
      <c r="I67" s="12">
        <v>0.05</v>
      </c>
      <c r="J67" s="13">
        <v>6948.45</v>
      </c>
      <c r="K67" s="13">
        <v>5200</v>
      </c>
      <c r="L67" s="13">
        <v>1748.45</v>
      </c>
      <c r="M67" s="11" t="s">
        <v>29</v>
      </c>
      <c r="N67" s="11" t="s">
        <v>72</v>
      </c>
      <c r="O67" s="14" t="s">
        <v>99</v>
      </c>
    </row>
    <row r="68" spans="1:15">
      <c r="A68" s="7" t="s">
        <v>189</v>
      </c>
      <c r="B68" s="7" t="s">
        <v>190</v>
      </c>
      <c r="C68" s="7" t="s">
        <v>70</v>
      </c>
      <c r="D68" s="7" t="s">
        <v>80</v>
      </c>
      <c r="E68" s="7" t="s">
        <v>45</v>
      </c>
      <c r="F68" s="7" t="s">
        <v>46</v>
      </c>
      <c r="G68" s="8">
        <v>1</v>
      </c>
      <c r="H68" s="9">
        <v>384.35</v>
      </c>
      <c r="I68" s="8">
        <v>0.15</v>
      </c>
      <c r="J68" s="9">
        <v>326.7</v>
      </c>
      <c r="K68" s="9">
        <v>220</v>
      </c>
      <c r="L68" s="9">
        <v>106.7</v>
      </c>
      <c r="M68" s="7" t="s">
        <v>53</v>
      </c>
      <c r="N68" s="7" t="s">
        <v>30</v>
      </c>
      <c r="O68" s="10" t="s">
        <v>48</v>
      </c>
    </row>
    <row r="69" spans="1:15">
      <c r="A69" s="11" t="s">
        <v>191</v>
      </c>
      <c r="B69" s="11" t="s">
        <v>192</v>
      </c>
      <c r="C69" s="11" t="s">
        <v>26</v>
      </c>
      <c r="D69" s="11" t="s">
        <v>51</v>
      </c>
      <c r="E69" s="11" t="s">
        <v>62</v>
      </c>
      <c r="F69" s="11" t="s">
        <v>63</v>
      </c>
      <c r="G69" s="12">
        <v>9</v>
      </c>
      <c r="H69" s="13">
        <v>187.14</v>
      </c>
      <c r="I69" s="12">
        <v>0.05</v>
      </c>
      <c r="J69" s="13">
        <v>1600.05</v>
      </c>
      <c r="K69" s="13">
        <v>810</v>
      </c>
      <c r="L69" s="13">
        <v>790.05</v>
      </c>
      <c r="M69" s="11" t="s">
        <v>47</v>
      </c>
      <c r="N69" s="11" t="s">
        <v>22</v>
      </c>
      <c r="O69" s="14" t="s">
        <v>35</v>
      </c>
    </row>
    <row r="70" spans="1:15">
      <c r="A70" s="7" t="s">
        <v>193</v>
      </c>
      <c r="B70" s="7" t="s">
        <v>140</v>
      </c>
      <c r="C70" s="7" t="s">
        <v>26</v>
      </c>
      <c r="D70" s="7" t="s">
        <v>27</v>
      </c>
      <c r="E70" s="7" t="s">
        <v>71</v>
      </c>
      <c r="F70" s="7" t="s">
        <v>63</v>
      </c>
      <c r="G70" s="8">
        <v>3</v>
      </c>
      <c r="H70" s="9">
        <v>342.73</v>
      </c>
      <c r="I70" s="8">
        <v>0.15</v>
      </c>
      <c r="J70" s="9">
        <v>873.96</v>
      </c>
      <c r="K70" s="9">
        <v>540</v>
      </c>
      <c r="L70" s="9">
        <v>333.96</v>
      </c>
      <c r="M70" s="7" t="s">
        <v>53</v>
      </c>
      <c r="N70" s="7" t="s">
        <v>22</v>
      </c>
      <c r="O70" s="10" t="s">
        <v>48</v>
      </c>
    </row>
    <row r="71" spans="1:15">
      <c r="A71" s="11" t="s">
        <v>194</v>
      </c>
      <c r="B71" s="11" t="s">
        <v>195</v>
      </c>
      <c r="C71" s="11" t="s">
        <v>17</v>
      </c>
      <c r="D71" s="11" t="s">
        <v>27</v>
      </c>
      <c r="E71" s="11" t="s">
        <v>121</v>
      </c>
      <c r="F71" s="11" t="s">
        <v>122</v>
      </c>
      <c r="G71" s="12">
        <v>12</v>
      </c>
      <c r="H71" s="13">
        <v>250.71</v>
      </c>
      <c r="I71" s="12">
        <v>0.15</v>
      </c>
      <c r="J71" s="13">
        <v>2557.2399999999998</v>
      </c>
      <c r="K71" s="13">
        <v>1680</v>
      </c>
      <c r="L71" s="13">
        <v>877.24</v>
      </c>
      <c r="M71" s="11" t="s">
        <v>53</v>
      </c>
      <c r="N71" s="11" t="s">
        <v>72</v>
      </c>
      <c r="O71" s="14" t="s">
        <v>99</v>
      </c>
    </row>
    <row r="72" spans="1:15">
      <c r="A72" s="7" t="s">
        <v>196</v>
      </c>
      <c r="B72" s="7" t="s">
        <v>197</v>
      </c>
      <c r="C72" s="7" t="s">
        <v>26</v>
      </c>
      <c r="D72" s="7" t="s">
        <v>44</v>
      </c>
      <c r="E72" s="7" t="s">
        <v>38</v>
      </c>
      <c r="F72" s="7" t="s">
        <v>39</v>
      </c>
      <c r="G72" s="8">
        <v>5</v>
      </c>
      <c r="H72" s="9">
        <v>3789.59</v>
      </c>
      <c r="I72" s="8">
        <v>0</v>
      </c>
      <c r="J72" s="9">
        <v>18947.95</v>
      </c>
      <c r="K72" s="9">
        <v>15000</v>
      </c>
      <c r="L72" s="9">
        <v>3947.95</v>
      </c>
      <c r="M72" s="7" t="s">
        <v>29</v>
      </c>
      <c r="N72" s="7" t="s">
        <v>30</v>
      </c>
      <c r="O72" s="10" t="s">
        <v>23</v>
      </c>
    </row>
    <row r="73" spans="1:15">
      <c r="A73" s="11" t="s">
        <v>198</v>
      </c>
      <c r="B73" s="11" t="s">
        <v>199</v>
      </c>
      <c r="C73" s="11" t="s">
        <v>17</v>
      </c>
      <c r="D73" s="11" t="s">
        <v>44</v>
      </c>
      <c r="E73" s="11" t="s">
        <v>38</v>
      </c>
      <c r="F73" s="11" t="s">
        <v>39</v>
      </c>
      <c r="G73" s="12">
        <v>7</v>
      </c>
      <c r="H73" s="13">
        <v>3617.53</v>
      </c>
      <c r="I73" s="12">
        <v>0</v>
      </c>
      <c r="J73" s="13">
        <v>25322.71</v>
      </c>
      <c r="K73" s="13">
        <v>21000</v>
      </c>
      <c r="L73" s="13">
        <v>4322.71</v>
      </c>
      <c r="M73" s="11" t="s">
        <v>53</v>
      </c>
      <c r="N73" s="11" t="s">
        <v>30</v>
      </c>
      <c r="O73" s="14" t="s">
        <v>31</v>
      </c>
    </row>
    <row r="74" spans="1:15">
      <c r="A74" s="7" t="s">
        <v>200</v>
      </c>
      <c r="B74" s="7" t="s">
        <v>201</v>
      </c>
      <c r="C74" s="7" t="s">
        <v>70</v>
      </c>
      <c r="D74" s="7" t="s">
        <v>18</v>
      </c>
      <c r="E74" s="7" t="s">
        <v>38</v>
      </c>
      <c r="F74" s="7" t="s">
        <v>39</v>
      </c>
      <c r="G74" s="8">
        <v>11</v>
      </c>
      <c r="H74" s="9">
        <v>4138.16</v>
      </c>
      <c r="I74" s="8">
        <v>0</v>
      </c>
      <c r="J74" s="9">
        <v>45519.76</v>
      </c>
      <c r="K74" s="9">
        <v>33000</v>
      </c>
      <c r="L74" s="9">
        <v>12519.76</v>
      </c>
      <c r="M74" s="7" t="s">
        <v>21</v>
      </c>
      <c r="N74" s="7" t="s">
        <v>22</v>
      </c>
      <c r="O74" s="10" t="s">
        <v>31</v>
      </c>
    </row>
    <row r="75" spans="1:15">
      <c r="A75" s="11" t="s">
        <v>202</v>
      </c>
      <c r="B75" s="11" t="s">
        <v>203</v>
      </c>
      <c r="C75" s="11" t="s">
        <v>34</v>
      </c>
      <c r="D75" s="11" t="s">
        <v>27</v>
      </c>
      <c r="E75" s="11" t="s">
        <v>19</v>
      </c>
      <c r="F75" s="11" t="s">
        <v>20</v>
      </c>
      <c r="G75" s="12">
        <v>8</v>
      </c>
      <c r="H75" s="13">
        <v>1399.22</v>
      </c>
      <c r="I75" s="12">
        <v>0</v>
      </c>
      <c r="J75" s="13">
        <v>11193.76</v>
      </c>
      <c r="K75" s="13">
        <v>8400</v>
      </c>
      <c r="L75" s="13">
        <v>2793.76</v>
      </c>
      <c r="M75" s="11" t="s">
        <v>47</v>
      </c>
      <c r="N75" s="11" t="s">
        <v>72</v>
      </c>
      <c r="O75" s="14" t="s">
        <v>67</v>
      </c>
    </row>
    <row r="76" spans="1:15">
      <c r="A76" s="7" t="s">
        <v>204</v>
      </c>
      <c r="B76" s="7" t="s">
        <v>183</v>
      </c>
      <c r="C76" s="7" t="s">
        <v>26</v>
      </c>
      <c r="D76" s="7" t="s">
        <v>80</v>
      </c>
      <c r="E76" s="7" t="s">
        <v>38</v>
      </c>
      <c r="F76" s="7" t="s">
        <v>39</v>
      </c>
      <c r="G76" s="8">
        <v>1</v>
      </c>
      <c r="H76" s="9">
        <v>4192.1499999999996</v>
      </c>
      <c r="I76" s="8">
        <v>0.15</v>
      </c>
      <c r="J76" s="9">
        <v>3563.33</v>
      </c>
      <c r="K76" s="9">
        <v>3000</v>
      </c>
      <c r="L76" s="9">
        <v>563.33000000000004</v>
      </c>
      <c r="M76" s="7" t="s">
        <v>47</v>
      </c>
      <c r="N76" s="7" t="s">
        <v>72</v>
      </c>
      <c r="O76" s="10" t="s">
        <v>94</v>
      </c>
    </row>
    <row r="77" spans="1:15">
      <c r="A77" s="11" t="s">
        <v>205</v>
      </c>
      <c r="B77" s="11" t="s">
        <v>206</v>
      </c>
      <c r="C77" s="11" t="s">
        <v>26</v>
      </c>
      <c r="D77" s="11" t="s">
        <v>80</v>
      </c>
      <c r="E77" s="11" t="s">
        <v>71</v>
      </c>
      <c r="F77" s="11" t="s">
        <v>63</v>
      </c>
      <c r="G77" s="12">
        <v>2</v>
      </c>
      <c r="H77" s="13">
        <v>341.72</v>
      </c>
      <c r="I77" s="12">
        <v>0</v>
      </c>
      <c r="J77" s="13">
        <v>683.44</v>
      </c>
      <c r="K77" s="13">
        <v>360</v>
      </c>
      <c r="L77" s="13">
        <v>323.44</v>
      </c>
      <c r="M77" s="11" t="s">
        <v>40</v>
      </c>
      <c r="N77" s="11" t="s">
        <v>22</v>
      </c>
      <c r="O77" s="14" t="s">
        <v>54</v>
      </c>
    </row>
    <row r="78" spans="1:15">
      <c r="A78" s="7" t="s">
        <v>207</v>
      </c>
      <c r="B78" s="7" t="s">
        <v>124</v>
      </c>
      <c r="C78" s="7" t="s">
        <v>57</v>
      </c>
      <c r="D78" s="7" t="s">
        <v>44</v>
      </c>
      <c r="E78" s="7" t="s">
        <v>38</v>
      </c>
      <c r="F78" s="7" t="s">
        <v>39</v>
      </c>
      <c r="G78" s="8">
        <v>7</v>
      </c>
      <c r="H78" s="9">
        <v>3596.08</v>
      </c>
      <c r="I78" s="8">
        <v>0</v>
      </c>
      <c r="J78" s="9">
        <v>25172.560000000001</v>
      </c>
      <c r="K78" s="9">
        <v>21000</v>
      </c>
      <c r="L78" s="9">
        <v>4172.5600000000004</v>
      </c>
      <c r="M78" s="7" t="s">
        <v>29</v>
      </c>
      <c r="N78" s="7" t="s">
        <v>22</v>
      </c>
      <c r="O78" s="10" t="s">
        <v>54</v>
      </c>
    </row>
    <row r="79" spans="1:15">
      <c r="A79" s="11" t="s">
        <v>208</v>
      </c>
      <c r="B79" s="11" t="s">
        <v>33</v>
      </c>
      <c r="C79" s="11" t="s">
        <v>70</v>
      </c>
      <c r="D79" s="11" t="s">
        <v>18</v>
      </c>
      <c r="E79" s="11" t="s">
        <v>38</v>
      </c>
      <c r="F79" s="11" t="s">
        <v>39</v>
      </c>
      <c r="G79" s="12">
        <v>12</v>
      </c>
      <c r="H79" s="13">
        <v>3923.68</v>
      </c>
      <c r="I79" s="12">
        <v>0.05</v>
      </c>
      <c r="J79" s="13">
        <v>44729.95</v>
      </c>
      <c r="K79" s="13">
        <v>36000</v>
      </c>
      <c r="L79" s="13">
        <v>8729.9500000000007</v>
      </c>
      <c r="M79" s="11" t="s">
        <v>29</v>
      </c>
      <c r="N79" s="11" t="s">
        <v>22</v>
      </c>
      <c r="O79" s="14" t="s">
        <v>64</v>
      </c>
    </row>
    <row r="80" spans="1:15">
      <c r="A80" s="7" t="s">
        <v>209</v>
      </c>
      <c r="B80" s="7" t="s">
        <v>210</v>
      </c>
      <c r="C80" s="7" t="s">
        <v>57</v>
      </c>
      <c r="D80" s="7" t="s">
        <v>51</v>
      </c>
      <c r="E80" s="7" t="s">
        <v>38</v>
      </c>
      <c r="F80" s="7" t="s">
        <v>39</v>
      </c>
      <c r="G80" s="8">
        <v>6</v>
      </c>
      <c r="H80" s="9">
        <v>3743.18</v>
      </c>
      <c r="I80" s="8">
        <v>0</v>
      </c>
      <c r="J80" s="9">
        <v>22459.08</v>
      </c>
      <c r="K80" s="9">
        <v>18000</v>
      </c>
      <c r="L80" s="9">
        <v>4459.08</v>
      </c>
      <c r="M80" s="7" t="s">
        <v>53</v>
      </c>
      <c r="N80" s="7" t="s">
        <v>22</v>
      </c>
      <c r="O80" s="10" t="s">
        <v>35</v>
      </c>
    </row>
    <row r="81" spans="1:15">
      <c r="A81" s="11" t="s">
        <v>211</v>
      </c>
      <c r="B81" s="11" t="s">
        <v>212</v>
      </c>
      <c r="C81" s="11" t="s">
        <v>26</v>
      </c>
      <c r="D81" s="11" t="s">
        <v>51</v>
      </c>
      <c r="E81" s="11" t="s">
        <v>58</v>
      </c>
      <c r="F81" s="11" t="s">
        <v>59</v>
      </c>
      <c r="G81" s="12">
        <v>11</v>
      </c>
      <c r="H81" s="13">
        <v>498.8</v>
      </c>
      <c r="I81" s="12">
        <v>0.1</v>
      </c>
      <c r="J81" s="13">
        <v>4938.12</v>
      </c>
      <c r="K81" s="13">
        <v>3850</v>
      </c>
      <c r="L81" s="13">
        <v>1088.1199999999999</v>
      </c>
      <c r="M81" s="11" t="s">
        <v>40</v>
      </c>
      <c r="N81" s="11" t="s">
        <v>72</v>
      </c>
      <c r="O81" s="14" t="s">
        <v>23</v>
      </c>
    </row>
    <row r="82" spans="1:15">
      <c r="A82" s="7" t="s">
        <v>213</v>
      </c>
      <c r="B82" s="7" t="s">
        <v>214</v>
      </c>
      <c r="C82" s="7" t="s">
        <v>34</v>
      </c>
      <c r="D82" s="7" t="s">
        <v>80</v>
      </c>
      <c r="E82" s="7" t="s">
        <v>121</v>
      </c>
      <c r="F82" s="7" t="s">
        <v>122</v>
      </c>
      <c r="G82" s="8">
        <v>7</v>
      </c>
      <c r="H82" s="9">
        <v>242.74</v>
      </c>
      <c r="I82" s="8">
        <v>0.1</v>
      </c>
      <c r="J82" s="9">
        <v>1529.26</v>
      </c>
      <c r="K82" s="9">
        <v>980</v>
      </c>
      <c r="L82" s="9">
        <v>549.26</v>
      </c>
      <c r="M82" s="7" t="s">
        <v>53</v>
      </c>
      <c r="N82" s="7" t="s">
        <v>72</v>
      </c>
      <c r="O82" s="10" t="s">
        <v>94</v>
      </c>
    </row>
    <row r="83" spans="1:15">
      <c r="A83" s="11" t="s">
        <v>215</v>
      </c>
      <c r="B83" s="11" t="s">
        <v>216</v>
      </c>
      <c r="C83" s="11" t="s">
        <v>70</v>
      </c>
      <c r="D83" s="11" t="s">
        <v>27</v>
      </c>
      <c r="E83" s="11" t="s">
        <v>28</v>
      </c>
      <c r="F83" s="11" t="s">
        <v>20</v>
      </c>
      <c r="G83" s="12">
        <v>4</v>
      </c>
      <c r="H83" s="13">
        <v>1017.34</v>
      </c>
      <c r="I83" s="12">
        <v>0.05</v>
      </c>
      <c r="J83" s="13">
        <v>3865.89</v>
      </c>
      <c r="K83" s="13">
        <v>2600</v>
      </c>
      <c r="L83" s="13">
        <v>1265.8900000000001</v>
      </c>
      <c r="M83" s="11" t="s">
        <v>40</v>
      </c>
      <c r="N83" s="11" t="s">
        <v>30</v>
      </c>
      <c r="O83" s="14" t="s">
        <v>73</v>
      </c>
    </row>
    <row r="84" spans="1:15">
      <c r="A84" s="7" t="s">
        <v>217</v>
      </c>
      <c r="B84" s="7" t="s">
        <v>156</v>
      </c>
      <c r="C84" s="7" t="s">
        <v>43</v>
      </c>
      <c r="D84" s="7" t="s">
        <v>27</v>
      </c>
      <c r="E84" s="7" t="s">
        <v>38</v>
      </c>
      <c r="F84" s="7" t="s">
        <v>39</v>
      </c>
      <c r="G84" s="8">
        <v>2</v>
      </c>
      <c r="H84" s="9">
        <v>4181.66</v>
      </c>
      <c r="I84" s="8">
        <v>0</v>
      </c>
      <c r="J84" s="9">
        <v>8363.32</v>
      </c>
      <c r="K84" s="9">
        <v>6000</v>
      </c>
      <c r="L84" s="9">
        <v>2363.3200000000002</v>
      </c>
      <c r="M84" s="7" t="s">
        <v>47</v>
      </c>
      <c r="N84" s="7" t="s">
        <v>30</v>
      </c>
      <c r="O84" s="10" t="s">
        <v>99</v>
      </c>
    </row>
    <row r="85" spans="1:15">
      <c r="A85" s="11" t="s">
        <v>218</v>
      </c>
      <c r="B85" s="11" t="s">
        <v>219</v>
      </c>
      <c r="C85" s="11" t="s">
        <v>17</v>
      </c>
      <c r="D85" s="11" t="s">
        <v>18</v>
      </c>
      <c r="E85" s="11" t="s">
        <v>121</v>
      </c>
      <c r="F85" s="11" t="s">
        <v>122</v>
      </c>
      <c r="G85" s="12">
        <v>10</v>
      </c>
      <c r="H85" s="13">
        <v>245.58</v>
      </c>
      <c r="I85" s="12">
        <v>0</v>
      </c>
      <c r="J85" s="13">
        <v>2455.8000000000002</v>
      </c>
      <c r="K85" s="13">
        <v>1400</v>
      </c>
      <c r="L85" s="13">
        <v>1055.8</v>
      </c>
      <c r="M85" s="11" t="s">
        <v>47</v>
      </c>
      <c r="N85" s="11" t="s">
        <v>22</v>
      </c>
      <c r="O85" s="14" t="s">
        <v>99</v>
      </c>
    </row>
    <row r="86" spans="1:15">
      <c r="A86" s="7" t="s">
        <v>220</v>
      </c>
      <c r="B86" s="7" t="s">
        <v>221</v>
      </c>
      <c r="C86" s="7" t="s">
        <v>57</v>
      </c>
      <c r="D86" s="7" t="s">
        <v>44</v>
      </c>
      <c r="E86" s="7" t="s">
        <v>19</v>
      </c>
      <c r="F86" s="7" t="s">
        <v>20</v>
      </c>
      <c r="G86" s="8">
        <v>8</v>
      </c>
      <c r="H86" s="9">
        <v>1398.68</v>
      </c>
      <c r="I86" s="8">
        <v>0.05</v>
      </c>
      <c r="J86" s="9">
        <v>10629.97</v>
      </c>
      <c r="K86" s="9">
        <v>8400</v>
      </c>
      <c r="L86" s="9">
        <v>2229.9699999999998</v>
      </c>
      <c r="M86" s="7" t="s">
        <v>21</v>
      </c>
      <c r="N86" s="7" t="s">
        <v>72</v>
      </c>
      <c r="O86" s="10" t="s">
        <v>23</v>
      </c>
    </row>
    <row r="87" spans="1:15">
      <c r="A87" s="11" t="s">
        <v>222</v>
      </c>
      <c r="B87" s="11" t="s">
        <v>223</v>
      </c>
      <c r="C87" s="11" t="s">
        <v>17</v>
      </c>
      <c r="D87" s="11" t="s">
        <v>51</v>
      </c>
      <c r="E87" s="11" t="s">
        <v>71</v>
      </c>
      <c r="F87" s="11" t="s">
        <v>63</v>
      </c>
      <c r="G87" s="12">
        <v>7</v>
      </c>
      <c r="H87" s="13">
        <v>320.32</v>
      </c>
      <c r="I87" s="12">
        <v>0.05</v>
      </c>
      <c r="J87" s="13">
        <v>2130.13</v>
      </c>
      <c r="K87" s="13">
        <v>1260</v>
      </c>
      <c r="L87" s="13">
        <v>870.13</v>
      </c>
      <c r="M87" s="11" t="s">
        <v>40</v>
      </c>
      <c r="N87" s="11" t="s">
        <v>30</v>
      </c>
      <c r="O87" s="14" t="s">
        <v>94</v>
      </c>
    </row>
    <row r="88" spans="1:15">
      <c r="A88" s="7" t="s">
        <v>224</v>
      </c>
      <c r="B88" s="7" t="s">
        <v>150</v>
      </c>
      <c r="C88" s="7" t="s">
        <v>57</v>
      </c>
      <c r="D88" s="7" t="s">
        <v>44</v>
      </c>
      <c r="E88" s="7" t="s">
        <v>19</v>
      </c>
      <c r="F88" s="7" t="s">
        <v>20</v>
      </c>
      <c r="G88" s="8">
        <v>7</v>
      </c>
      <c r="H88" s="9">
        <v>1383.01</v>
      </c>
      <c r="I88" s="8">
        <v>0</v>
      </c>
      <c r="J88" s="9">
        <v>9681.07</v>
      </c>
      <c r="K88" s="9">
        <v>7350</v>
      </c>
      <c r="L88" s="9">
        <v>2331.0700000000002</v>
      </c>
      <c r="M88" s="7" t="s">
        <v>40</v>
      </c>
      <c r="N88" s="7" t="s">
        <v>30</v>
      </c>
      <c r="O88" s="10" t="s">
        <v>64</v>
      </c>
    </row>
    <row r="89" spans="1:15">
      <c r="A89" s="11" t="s">
        <v>225</v>
      </c>
      <c r="B89" s="11" t="s">
        <v>112</v>
      </c>
      <c r="C89" s="11" t="s">
        <v>26</v>
      </c>
      <c r="D89" s="11" t="s">
        <v>44</v>
      </c>
      <c r="E89" s="11" t="s">
        <v>58</v>
      </c>
      <c r="F89" s="11" t="s">
        <v>59</v>
      </c>
      <c r="G89" s="12">
        <v>11</v>
      </c>
      <c r="H89" s="13">
        <v>519.04</v>
      </c>
      <c r="I89" s="12">
        <v>0.1</v>
      </c>
      <c r="J89" s="13">
        <v>5138.5</v>
      </c>
      <c r="K89" s="13">
        <v>3850</v>
      </c>
      <c r="L89" s="13">
        <v>1288.5</v>
      </c>
      <c r="M89" s="11" t="s">
        <v>47</v>
      </c>
      <c r="N89" s="11" t="s">
        <v>30</v>
      </c>
      <c r="O89" s="14" t="s">
        <v>35</v>
      </c>
    </row>
    <row r="90" spans="1:15">
      <c r="A90" s="7" t="s">
        <v>226</v>
      </c>
      <c r="B90" s="7" t="s">
        <v>227</v>
      </c>
      <c r="C90" s="7" t="s">
        <v>17</v>
      </c>
      <c r="D90" s="7" t="s">
        <v>80</v>
      </c>
      <c r="E90" s="7" t="s">
        <v>71</v>
      </c>
      <c r="F90" s="7" t="s">
        <v>63</v>
      </c>
      <c r="G90" s="8">
        <v>12</v>
      </c>
      <c r="H90" s="9">
        <v>346.08</v>
      </c>
      <c r="I90" s="8">
        <v>0.15</v>
      </c>
      <c r="J90" s="9">
        <v>3530.02</v>
      </c>
      <c r="K90" s="9">
        <v>2160</v>
      </c>
      <c r="L90" s="9">
        <v>1370.02</v>
      </c>
      <c r="M90" s="7" t="s">
        <v>53</v>
      </c>
      <c r="N90" s="7" t="s">
        <v>72</v>
      </c>
      <c r="O90" s="10" t="s">
        <v>31</v>
      </c>
    </row>
    <row r="91" spans="1:15">
      <c r="A91" s="11" t="s">
        <v>228</v>
      </c>
      <c r="B91" s="11" t="s">
        <v>229</v>
      </c>
      <c r="C91" s="11" t="s">
        <v>17</v>
      </c>
      <c r="D91" s="11" t="s">
        <v>51</v>
      </c>
      <c r="E91" s="11" t="s">
        <v>28</v>
      </c>
      <c r="F91" s="11" t="s">
        <v>20</v>
      </c>
      <c r="G91" s="12">
        <v>11</v>
      </c>
      <c r="H91" s="13">
        <v>960.95</v>
      </c>
      <c r="I91" s="12">
        <v>0.05</v>
      </c>
      <c r="J91" s="13">
        <v>10041.93</v>
      </c>
      <c r="K91" s="13">
        <v>7150</v>
      </c>
      <c r="L91" s="13">
        <v>2891.93</v>
      </c>
      <c r="M91" s="11" t="s">
        <v>21</v>
      </c>
      <c r="N91" s="11" t="s">
        <v>22</v>
      </c>
      <c r="O91" s="14" t="s">
        <v>94</v>
      </c>
    </row>
    <row r="92" spans="1:15">
      <c r="A92" s="7" t="s">
        <v>230</v>
      </c>
      <c r="B92" s="7" t="s">
        <v>231</v>
      </c>
      <c r="C92" s="7" t="s">
        <v>17</v>
      </c>
      <c r="D92" s="7" t="s">
        <v>80</v>
      </c>
      <c r="E92" s="7" t="s">
        <v>62</v>
      </c>
      <c r="F92" s="7" t="s">
        <v>63</v>
      </c>
      <c r="G92" s="8">
        <v>3</v>
      </c>
      <c r="H92" s="9">
        <v>190.96</v>
      </c>
      <c r="I92" s="8">
        <v>0.05</v>
      </c>
      <c r="J92" s="9">
        <v>544.24</v>
      </c>
      <c r="K92" s="9">
        <v>270</v>
      </c>
      <c r="L92" s="9">
        <v>274.24</v>
      </c>
      <c r="M92" s="7" t="s">
        <v>29</v>
      </c>
      <c r="N92" s="7" t="s">
        <v>22</v>
      </c>
      <c r="O92" s="10" t="s">
        <v>31</v>
      </c>
    </row>
    <row r="93" spans="1:15">
      <c r="A93" s="11" t="s">
        <v>232</v>
      </c>
      <c r="B93" s="11" t="s">
        <v>233</v>
      </c>
      <c r="C93" s="11" t="s">
        <v>57</v>
      </c>
      <c r="D93" s="11" t="s">
        <v>27</v>
      </c>
      <c r="E93" s="11" t="s">
        <v>58</v>
      </c>
      <c r="F93" s="11" t="s">
        <v>59</v>
      </c>
      <c r="G93" s="12">
        <v>7</v>
      </c>
      <c r="H93" s="13">
        <v>553.66</v>
      </c>
      <c r="I93" s="12">
        <v>0.05</v>
      </c>
      <c r="J93" s="13">
        <v>3681.84</v>
      </c>
      <c r="K93" s="13">
        <v>2450</v>
      </c>
      <c r="L93" s="13">
        <v>1231.8399999999999</v>
      </c>
      <c r="M93" s="11" t="s">
        <v>47</v>
      </c>
      <c r="N93" s="11" t="s">
        <v>72</v>
      </c>
      <c r="O93" s="14" t="s">
        <v>31</v>
      </c>
    </row>
    <row r="94" spans="1:15">
      <c r="A94" s="7" t="s">
        <v>234</v>
      </c>
      <c r="B94" s="7" t="s">
        <v>197</v>
      </c>
      <c r="C94" s="7" t="s">
        <v>34</v>
      </c>
      <c r="D94" s="7" t="s">
        <v>27</v>
      </c>
      <c r="E94" s="7" t="s">
        <v>19</v>
      </c>
      <c r="F94" s="7" t="s">
        <v>20</v>
      </c>
      <c r="G94" s="8">
        <v>11</v>
      </c>
      <c r="H94" s="9">
        <v>1401.36</v>
      </c>
      <c r="I94" s="8">
        <v>0</v>
      </c>
      <c r="J94" s="9">
        <v>15414.96</v>
      </c>
      <c r="K94" s="9">
        <v>11550</v>
      </c>
      <c r="L94" s="9">
        <v>3864.96</v>
      </c>
      <c r="M94" s="7" t="s">
        <v>47</v>
      </c>
      <c r="N94" s="7" t="s">
        <v>72</v>
      </c>
      <c r="O94" s="10" t="s">
        <v>73</v>
      </c>
    </row>
    <row r="95" spans="1:15">
      <c r="A95" s="11" t="s">
        <v>235</v>
      </c>
      <c r="B95" s="11" t="s">
        <v>61</v>
      </c>
      <c r="C95" s="11" t="s">
        <v>57</v>
      </c>
      <c r="D95" s="11" t="s">
        <v>27</v>
      </c>
      <c r="E95" s="11" t="s">
        <v>62</v>
      </c>
      <c r="F95" s="11" t="s">
        <v>63</v>
      </c>
      <c r="G95" s="12">
        <v>11</v>
      </c>
      <c r="H95" s="13">
        <v>172.31</v>
      </c>
      <c r="I95" s="12">
        <v>0.1</v>
      </c>
      <c r="J95" s="13">
        <v>1705.87</v>
      </c>
      <c r="K95" s="13">
        <v>990</v>
      </c>
      <c r="L95" s="13">
        <v>715.87</v>
      </c>
      <c r="M95" s="11" t="s">
        <v>40</v>
      </c>
      <c r="N95" s="11" t="s">
        <v>72</v>
      </c>
      <c r="O95" s="14" t="s">
        <v>54</v>
      </c>
    </row>
    <row r="96" spans="1:15">
      <c r="A96" s="7" t="s">
        <v>236</v>
      </c>
      <c r="B96" s="7" t="s">
        <v>210</v>
      </c>
      <c r="C96" s="7" t="s">
        <v>70</v>
      </c>
      <c r="D96" s="7" t="s">
        <v>18</v>
      </c>
      <c r="E96" s="7" t="s">
        <v>28</v>
      </c>
      <c r="F96" s="7" t="s">
        <v>20</v>
      </c>
      <c r="G96" s="8">
        <v>4</v>
      </c>
      <c r="H96" s="9">
        <v>1006.81</v>
      </c>
      <c r="I96" s="8">
        <v>0.15</v>
      </c>
      <c r="J96" s="9">
        <v>3423.15</v>
      </c>
      <c r="K96" s="9">
        <v>2600</v>
      </c>
      <c r="L96" s="9">
        <v>823.15</v>
      </c>
      <c r="M96" s="7" t="s">
        <v>47</v>
      </c>
      <c r="N96" s="7" t="s">
        <v>30</v>
      </c>
      <c r="O96" s="10" t="s">
        <v>73</v>
      </c>
    </row>
    <row r="97" spans="1:15">
      <c r="A97" s="11" t="s">
        <v>237</v>
      </c>
      <c r="B97" s="11" t="s">
        <v>42</v>
      </c>
      <c r="C97" s="11" t="s">
        <v>34</v>
      </c>
      <c r="D97" s="11" t="s">
        <v>18</v>
      </c>
      <c r="E97" s="11" t="s">
        <v>71</v>
      </c>
      <c r="F97" s="11" t="s">
        <v>63</v>
      </c>
      <c r="G97" s="12">
        <v>5</v>
      </c>
      <c r="H97" s="13">
        <v>309.52999999999997</v>
      </c>
      <c r="I97" s="12">
        <v>0</v>
      </c>
      <c r="J97" s="13">
        <v>1547.65</v>
      </c>
      <c r="K97" s="13">
        <v>900</v>
      </c>
      <c r="L97" s="13">
        <v>647.65</v>
      </c>
      <c r="M97" s="11" t="s">
        <v>40</v>
      </c>
      <c r="N97" s="11" t="s">
        <v>72</v>
      </c>
      <c r="O97" s="14" t="s">
        <v>67</v>
      </c>
    </row>
    <row r="98" spans="1:15">
      <c r="A98" s="7" t="s">
        <v>238</v>
      </c>
      <c r="B98" s="7" t="s">
        <v>239</v>
      </c>
      <c r="C98" s="7" t="s">
        <v>43</v>
      </c>
      <c r="D98" s="7" t="s">
        <v>44</v>
      </c>
      <c r="E98" s="7" t="s">
        <v>71</v>
      </c>
      <c r="F98" s="7" t="s">
        <v>63</v>
      </c>
      <c r="G98" s="8">
        <v>6</v>
      </c>
      <c r="H98" s="9">
        <v>299.33</v>
      </c>
      <c r="I98" s="8">
        <v>0.15</v>
      </c>
      <c r="J98" s="9">
        <v>1526.58</v>
      </c>
      <c r="K98" s="9">
        <v>1080</v>
      </c>
      <c r="L98" s="9">
        <v>446.58</v>
      </c>
      <c r="M98" s="7" t="s">
        <v>40</v>
      </c>
      <c r="N98" s="7" t="s">
        <v>30</v>
      </c>
      <c r="O98" s="10" t="s">
        <v>67</v>
      </c>
    </row>
    <row r="99" spans="1:15">
      <c r="A99" s="11" t="s">
        <v>240</v>
      </c>
      <c r="B99" s="11" t="s">
        <v>241</v>
      </c>
      <c r="C99" s="11" t="s">
        <v>34</v>
      </c>
      <c r="D99" s="11" t="s">
        <v>27</v>
      </c>
      <c r="E99" s="11" t="s">
        <v>45</v>
      </c>
      <c r="F99" s="11" t="s">
        <v>46</v>
      </c>
      <c r="G99" s="12">
        <v>5</v>
      </c>
      <c r="H99" s="13">
        <v>361.87</v>
      </c>
      <c r="I99" s="12">
        <v>0</v>
      </c>
      <c r="J99" s="13">
        <v>1809.35</v>
      </c>
      <c r="K99" s="13">
        <v>1100</v>
      </c>
      <c r="L99" s="13">
        <v>709.35</v>
      </c>
      <c r="M99" s="11" t="s">
        <v>53</v>
      </c>
      <c r="N99" s="11" t="s">
        <v>72</v>
      </c>
      <c r="O99" s="14" t="s">
        <v>23</v>
      </c>
    </row>
    <row r="100" spans="1:15">
      <c r="A100" s="7" t="s">
        <v>242</v>
      </c>
      <c r="B100" s="7" t="s">
        <v>243</v>
      </c>
      <c r="C100" s="7" t="s">
        <v>70</v>
      </c>
      <c r="D100" s="7" t="s">
        <v>44</v>
      </c>
      <c r="E100" s="7" t="s">
        <v>52</v>
      </c>
      <c r="F100" s="7" t="s">
        <v>39</v>
      </c>
      <c r="G100" s="8">
        <v>9</v>
      </c>
      <c r="H100" s="9">
        <v>4062.41</v>
      </c>
      <c r="I100" s="8">
        <v>0</v>
      </c>
      <c r="J100" s="9">
        <v>36561.69</v>
      </c>
      <c r="K100" s="9">
        <v>28800</v>
      </c>
      <c r="L100" s="9">
        <v>7761.69</v>
      </c>
      <c r="M100" s="7" t="s">
        <v>53</v>
      </c>
      <c r="N100" s="7" t="s">
        <v>30</v>
      </c>
      <c r="O100" s="10" t="s">
        <v>23</v>
      </c>
    </row>
    <row r="101" spans="1:15">
      <c r="A101" s="15" t="s">
        <v>244</v>
      </c>
      <c r="B101" s="15" t="s">
        <v>245</v>
      </c>
      <c r="C101" s="15" t="s">
        <v>57</v>
      </c>
      <c r="D101" s="15" t="s">
        <v>27</v>
      </c>
      <c r="E101" s="15" t="s">
        <v>62</v>
      </c>
      <c r="F101" s="15" t="s">
        <v>63</v>
      </c>
      <c r="G101" s="16">
        <v>1</v>
      </c>
      <c r="H101" s="17">
        <v>188.7</v>
      </c>
      <c r="I101" s="16">
        <v>0</v>
      </c>
      <c r="J101" s="17">
        <v>188.7</v>
      </c>
      <c r="K101" s="17">
        <v>90</v>
      </c>
      <c r="L101" s="17">
        <v>98.7</v>
      </c>
      <c r="M101" s="15" t="s">
        <v>53</v>
      </c>
      <c r="N101" s="15" t="s">
        <v>30</v>
      </c>
      <c r="O101" s="18" t="s">
        <v>23</v>
      </c>
    </row>
  </sheetData>
  <autoFilter ref="A1:O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EF51-1D42-4687-B974-656C95D74625}">
  <dimension ref="A3:C72"/>
  <sheetViews>
    <sheetView showGridLines="0" workbookViewId="0">
      <selection activeCell="G7" sqref="G7"/>
    </sheetView>
  </sheetViews>
  <sheetFormatPr defaultRowHeight="15"/>
  <cols>
    <col min="1" max="1" width="28" style="19" customWidth="1"/>
    <col min="2" max="2" width="17.42578125" customWidth="1"/>
    <col min="3" max="3" width="15.5703125" customWidth="1"/>
    <col min="4" max="4" width="19.5703125" bestFit="1" customWidth="1"/>
    <col min="5" max="5" width="13.28515625" bestFit="1" customWidth="1"/>
    <col min="6" max="6" width="13.42578125" bestFit="1" customWidth="1"/>
    <col min="7" max="7" width="13.7109375" bestFit="1" customWidth="1"/>
    <col min="8" max="8" width="16.7109375" bestFit="1" customWidth="1"/>
    <col min="9" max="9" width="12.28515625" bestFit="1" customWidth="1"/>
    <col min="10" max="10" width="16.7109375" bestFit="1" customWidth="1"/>
    <col min="11" max="11" width="12.28515625" bestFit="1" customWidth="1"/>
    <col min="12" max="12" width="19.5703125" bestFit="1" customWidth="1"/>
    <col min="13" max="13" width="8.140625" bestFit="1" customWidth="1"/>
    <col min="14" max="15" width="10.85546875" bestFit="1" customWidth="1"/>
    <col min="16" max="16" width="13.42578125" bestFit="1" customWidth="1"/>
    <col min="17" max="17" width="13.7109375" bestFit="1" customWidth="1"/>
    <col min="18" max="18" width="16.7109375" bestFit="1" customWidth="1"/>
    <col min="19" max="19" width="8" bestFit="1" customWidth="1"/>
    <col min="20" max="20" width="16.7109375" bestFit="1" customWidth="1"/>
    <col min="21" max="21" width="11.85546875" bestFit="1" customWidth="1"/>
    <col min="22" max="22" width="20.5703125" bestFit="1" customWidth="1"/>
    <col min="23" max="23" width="24.5703125" bestFit="1" customWidth="1"/>
    <col min="24" max="26" width="12.42578125" bestFit="1" customWidth="1"/>
    <col min="27" max="27" width="15.85546875" bestFit="1" customWidth="1"/>
    <col min="28" max="28" width="15.28515625" bestFit="1" customWidth="1"/>
    <col min="29" max="30" width="9.5703125" bestFit="1" customWidth="1"/>
    <col min="31" max="35" width="11.28515625" bestFit="1" customWidth="1"/>
    <col min="36" max="36" width="18.42578125" bestFit="1" customWidth="1"/>
    <col min="37" max="37" width="15.5703125" bestFit="1" customWidth="1"/>
    <col min="38" max="44" width="12.42578125" bestFit="1" customWidth="1"/>
    <col min="45" max="45" width="18.7109375" bestFit="1" customWidth="1"/>
    <col min="46" max="46" width="18.5703125" bestFit="1" customWidth="1"/>
    <col min="47" max="47" width="11.28515625" bestFit="1" customWidth="1"/>
    <col min="48" max="56" width="12.42578125" bestFit="1" customWidth="1"/>
    <col min="57" max="57" width="21.7109375" bestFit="1" customWidth="1"/>
    <col min="58" max="58" width="9.85546875" bestFit="1" customWidth="1"/>
    <col min="59" max="61" width="11.28515625" bestFit="1" customWidth="1"/>
    <col min="62" max="63" width="12.42578125" bestFit="1" customWidth="1"/>
    <col min="64" max="64" width="11.28515625" bestFit="1" customWidth="1"/>
    <col min="65" max="65" width="13.140625" bestFit="1" customWidth="1"/>
    <col min="66" max="66" width="18.5703125" bestFit="1" customWidth="1"/>
    <col min="67" max="67" width="11.28515625" bestFit="1" customWidth="1"/>
    <col min="68" max="68" width="9.5703125" bestFit="1" customWidth="1"/>
    <col min="69" max="74" width="11.28515625" bestFit="1" customWidth="1"/>
    <col min="75" max="75" width="21.5703125" bestFit="1" customWidth="1"/>
    <col min="76" max="76" width="13.7109375" bestFit="1" customWidth="1"/>
    <col min="77" max="81" width="11.28515625" bestFit="1" customWidth="1"/>
    <col min="82" max="82" width="17" bestFit="1" customWidth="1"/>
    <col min="83" max="83" width="13.42578125" bestFit="1" customWidth="1"/>
  </cols>
  <sheetData>
    <row r="3" spans="1:3" s="20" customFormat="1">
      <c r="A3" s="19"/>
      <c r="B3" s="20" t="s">
        <v>5</v>
      </c>
      <c r="C3" s="20" t="s">
        <v>246</v>
      </c>
    </row>
    <row r="4" spans="1:3" s="20" customFormat="1">
      <c r="A4" s="19"/>
      <c r="B4" s="20" t="s">
        <v>12</v>
      </c>
      <c r="C4" s="20" t="s">
        <v>246</v>
      </c>
    </row>
    <row r="5" spans="1:3" s="20" customFormat="1">
      <c r="A5" s="19"/>
    </row>
    <row r="6" spans="1:3" s="20" customFormat="1">
      <c r="A6" s="19"/>
      <c r="B6" s="20" t="s">
        <v>4</v>
      </c>
      <c r="C6" s="20" t="s">
        <v>247</v>
      </c>
    </row>
    <row r="7" spans="1:3" s="20" customFormat="1">
      <c r="A7" s="19"/>
      <c r="B7" s="20" t="s">
        <v>110</v>
      </c>
      <c r="C7" s="21">
        <v>4617.4799999999996</v>
      </c>
    </row>
    <row r="8" spans="1:3" s="20" customFormat="1">
      <c r="A8" s="19"/>
      <c r="B8" s="20" t="s">
        <v>45</v>
      </c>
      <c r="C8" s="21">
        <v>12447.220000000003</v>
      </c>
    </row>
    <row r="9" spans="1:3" s="20" customFormat="1">
      <c r="A9" s="19"/>
      <c r="B9" s="20" t="s">
        <v>28</v>
      </c>
      <c r="C9" s="21">
        <v>67997.86</v>
      </c>
    </row>
    <row r="10" spans="1:3" s="20" customFormat="1">
      <c r="A10" s="19"/>
      <c r="B10" s="20" t="s">
        <v>19</v>
      </c>
      <c r="C10" s="21">
        <v>105705.25</v>
      </c>
    </row>
    <row r="11" spans="1:3" s="20" customFormat="1">
      <c r="A11" s="19"/>
      <c r="B11" s="20" t="s">
        <v>62</v>
      </c>
      <c r="C11" s="21">
        <v>10723.09</v>
      </c>
    </row>
    <row r="12" spans="1:3" s="20" customFormat="1">
      <c r="A12" s="19"/>
      <c r="B12" s="20" t="s">
        <v>52</v>
      </c>
      <c r="C12" s="21">
        <v>346553.54</v>
      </c>
    </row>
    <row r="13" spans="1:3" s="20" customFormat="1">
      <c r="A13" s="19"/>
      <c r="B13" s="20" t="s">
        <v>38</v>
      </c>
      <c r="C13" s="21">
        <v>348725.04000000004</v>
      </c>
    </row>
    <row r="14" spans="1:3" s="20" customFormat="1">
      <c r="A14" s="19"/>
      <c r="B14" s="20" t="s">
        <v>58</v>
      </c>
      <c r="C14" s="21">
        <v>42759.61</v>
      </c>
    </row>
    <row r="15" spans="1:3" s="20" customFormat="1">
      <c r="A15" s="19"/>
      <c r="B15" s="20" t="s">
        <v>71</v>
      </c>
      <c r="C15" s="21">
        <v>23485.71</v>
      </c>
    </row>
    <row r="16" spans="1:3" s="20" customFormat="1">
      <c r="A16" s="19"/>
      <c r="B16" s="20" t="s">
        <v>121</v>
      </c>
      <c r="C16" s="21">
        <v>10801.060000000001</v>
      </c>
    </row>
    <row r="17" spans="1:3" s="20" customFormat="1">
      <c r="A17" s="19"/>
      <c r="B17" s="20" t="s">
        <v>248</v>
      </c>
      <c r="C17" s="21">
        <v>973815.86</v>
      </c>
    </row>
    <row r="18" spans="1:3" s="20" customFormat="1">
      <c r="A18" s="19"/>
    </row>
    <row r="19" spans="1:3" s="20" customFormat="1">
      <c r="A19" s="19"/>
    </row>
    <row r="20" spans="1:3" s="20" customFormat="1">
      <c r="A20" s="19"/>
    </row>
    <row r="21" spans="1:3" s="20" customFormat="1">
      <c r="A21" s="19"/>
    </row>
    <row r="22" spans="1:3" s="20" customFormat="1">
      <c r="A22" s="19"/>
    </row>
    <row r="23" spans="1:3" s="20" customFormat="1">
      <c r="A23" s="19"/>
    </row>
    <row r="24" spans="1:3" s="20" customFormat="1">
      <c r="A24" s="19"/>
    </row>
    <row r="25" spans="1:3" s="20" customFormat="1">
      <c r="A25" s="19"/>
    </row>
    <row r="26" spans="1:3" s="20" customFormat="1">
      <c r="A26" s="19"/>
    </row>
    <row r="27" spans="1:3" s="20" customFormat="1">
      <c r="A27" s="19"/>
    </row>
    <row r="28" spans="1:3" s="20" customFormat="1">
      <c r="A28" s="19"/>
    </row>
    <row r="29" spans="1:3" s="20" customFormat="1">
      <c r="A29" s="19"/>
    </row>
    <row r="30" spans="1:3" s="20" customFormat="1">
      <c r="A30" s="19"/>
    </row>
    <row r="31" spans="1:3" s="20" customFormat="1">
      <c r="A31" s="19"/>
    </row>
    <row r="32" spans="1:3" s="20" customFormat="1">
      <c r="A32" s="19"/>
    </row>
    <row r="33" spans="1:1" s="20" customFormat="1">
      <c r="A33" s="19"/>
    </row>
    <row r="34" spans="1:1" s="20" customFormat="1">
      <c r="A34" s="19"/>
    </row>
    <row r="35" spans="1:1" s="20" customFormat="1">
      <c r="A35" s="19"/>
    </row>
    <row r="36" spans="1:1" s="20" customFormat="1">
      <c r="A36" s="19"/>
    </row>
    <row r="37" spans="1:1" s="20" customFormat="1">
      <c r="A37" s="19"/>
    </row>
    <row r="38" spans="1:1" s="20" customFormat="1">
      <c r="A38" s="19"/>
    </row>
    <row r="39" spans="1:1" s="20" customFormat="1">
      <c r="A39" s="19"/>
    </row>
    <row r="40" spans="1:1" s="20" customFormat="1">
      <c r="A40" s="19"/>
    </row>
    <row r="41" spans="1:1" s="20" customFormat="1">
      <c r="A41" s="19"/>
    </row>
    <row r="42" spans="1:1" s="20" customFormat="1">
      <c r="A42" s="19"/>
    </row>
    <row r="43" spans="1:1" s="20" customFormat="1">
      <c r="A43" s="19"/>
    </row>
    <row r="44" spans="1:1" s="20" customFormat="1">
      <c r="A44" s="19"/>
    </row>
    <row r="45" spans="1:1" s="20" customFormat="1">
      <c r="A45" s="19"/>
    </row>
    <row r="46" spans="1:1" s="20" customFormat="1">
      <c r="A46" s="19"/>
    </row>
    <row r="47" spans="1:1" s="20" customFormat="1">
      <c r="A47" s="19"/>
    </row>
    <row r="48" spans="1:1" s="20" customFormat="1">
      <c r="A48" s="19"/>
    </row>
    <row r="49" spans="1:1" s="20" customFormat="1">
      <c r="A49" s="19"/>
    </row>
    <row r="50" spans="1:1" s="20" customFormat="1">
      <c r="A50" s="19"/>
    </row>
    <row r="51" spans="1:1" s="20" customFormat="1">
      <c r="A51" s="19"/>
    </row>
    <row r="52" spans="1:1" s="20" customFormat="1">
      <c r="A52" s="19"/>
    </row>
    <row r="53" spans="1:1" s="20" customFormat="1">
      <c r="A53" s="19"/>
    </row>
    <row r="54" spans="1:1" s="20" customFormat="1">
      <c r="A54" s="19"/>
    </row>
    <row r="55" spans="1:1" s="20" customFormat="1">
      <c r="A55" s="19"/>
    </row>
    <row r="56" spans="1:1" s="20" customFormat="1">
      <c r="A56" s="19"/>
    </row>
    <row r="57" spans="1:1" s="20" customFormat="1">
      <c r="A57" s="19"/>
    </row>
    <row r="58" spans="1:1" s="20" customFormat="1">
      <c r="A58" s="19"/>
    </row>
    <row r="59" spans="1:1" s="20" customFormat="1">
      <c r="A59" s="19"/>
    </row>
    <row r="60" spans="1:1" s="20" customFormat="1">
      <c r="A60" s="19"/>
    </row>
    <row r="61" spans="1:1" s="20" customFormat="1">
      <c r="A61" s="19"/>
    </row>
    <row r="62" spans="1:1" s="20" customFormat="1">
      <c r="A62" s="19"/>
    </row>
    <row r="63" spans="1:1" s="20" customFormat="1">
      <c r="A63" s="19"/>
    </row>
    <row r="64" spans="1:1" s="20" customFormat="1">
      <c r="A64" s="19"/>
    </row>
    <row r="65" spans="1:1" s="20" customFormat="1">
      <c r="A65" s="19"/>
    </row>
    <row r="66" spans="1:1" s="20" customFormat="1">
      <c r="A66" s="19"/>
    </row>
    <row r="67" spans="1:1" s="20" customFormat="1">
      <c r="A67" s="19"/>
    </row>
    <row r="68" spans="1:1" s="20" customFormat="1">
      <c r="A68" s="19"/>
    </row>
    <row r="69" spans="1:1" s="20" customFormat="1">
      <c r="A69" s="19"/>
    </row>
    <row r="70" spans="1:1" s="20" customFormat="1">
      <c r="A70" s="19"/>
    </row>
    <row r="71" spans="1:1" s="20" customFormat="1">
      <c r="A71" s="19"/>
    </row>
    <row r="72" spans="1:1" s="20" customFormat="1">
      <c r="A72" s="19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984E-6A1E-4D90-8B2F-06A98AB146AD}">
  <dimension ref="A1:P173"/>
  <sheetViews>
    <sheetView showGridLines="0" tabSelected="1" workbookViewId="0">
      <selection activeCell="K47" sqref="K47"/>
    </sheetView>
  </sheetViews>
  <sheetFormatPr defaultRowHeight="15"/>
  <cols>
    <col min="1" max="1" width="20.28515625" style="24" customWidth="1"/>
    <col min="2" max="3" width="9.140625" style="23"/>
    <col min="4" max="4" width="13.28515625" style="23" bestFit="1" customWidth="1"/>
    <col min="5" max="5" width="15.5703125" style="23" bestFit="1" customWidth="1"/>
    <col min="6" max="6" width="20.85546875" style="23" bestFit="1" customWidth="1"/>
    <col min="7" max="7" width="21.85546875" style="23" bestFit="1" customWidth="1"/>
    <col min="8" max="8" width="13.85546875" style="23" bestFit="1" customWidth="1"/>
    <col min="9" max="9" width="12.140625" style="23" customWidth="1"/>
    <col min="10" max="10" width="14.140625" style="23" bestFit="1" customWidth="1"/>
    <col min="11" max="11" width="15.42578125" style="23" bestFit="1" customWidth="1"/>
    <col min="12" max="12" width="15.5703125" style="23" bestFit="1" customWidth="1"/>
    <col min="13" max="14" width="13.85546875" style="23" bestFit="1" customWidth="1"/>
    <col min="15" max="16384" width="9.140625" style="23"/>
  </cols>
  <sheetData>
    <row r="1" spans="1:16" s="20" customFormat="1"/>
    <row r="2" spans="1:16" s="20" customFormat="1" ht="32.25" customHeight="1">
      <c r="B2" s="25" t="s">
        <v>249</v>
      </c>
      <c r="C2" s="25"/>
      <c r="D2" s="25"/>
      <c r="E2" s="25"/>
      <c r="F2" s="25"/>
      <c r="G2" s="25"/>
    </row>
    <row r="3" spans="1:16">
      <c r="A3"/>
    </row>
    <row r="5" spans="1:16">
      <c r="D5" s="22"/>
    </row>
    <row r="6" spans="1:16">
      <c r="I6" s="22"/>
    </row>
    <row r="8" spans="1:16" ht="31.5">
      <c r="C8" s="26" t="s">
        <v>250</v>
      </c>
      <c r="H8" s="26" t="s">
        <v>251</v>
      </c>
      <c r="N8" s="28" t="s">
        <v>252</v>
      </c>
    </row>
    <row r="11" spans="1:16" ht="15.75">
      <c r="E11" s="27">
        <f>E104</f>
        <v>973815.85999999964</v>
      </c>
      <c r="J11" s="27">
        <f>M108</f>
        <v>203125.85999999996</v>
      </c>
      <c r="P11" s="29">
        <f>K120</f>
        <v>662</v>
      </c>
    </row>
    <row r="15" spans="1:16">
      <c r="F15" s="22"/>
    </row>
    <row r="103" spans="5:15">
      <c r="E103" t="s">
        <v>247</v>
      </c>
      <c r="F103"/>
      <c r="G103"/>
    </row>
    <row r="104" spans="5:15">
      <c r="E104" s="4">
        <v>973815.85999999964</v>
      </c>
      <c r="F104"/>
      <c r="G104"/>
    </row>
    <row r="105" spans="5:15">
      <c r="E105"/>
      <c r="F105"/>
      <c r="G105"/>
    </row>
    <row r="106" spans="5:15">
      <c r="E106"/>
      <c r="F106"/>
      <c r="G106"/>
    </row>
    <row r="107" spans="5:15">
      <c r="E107"/>
      <c r="F107"/>
      <c r="G107"/>
      <c r="M107" t="s">
        <v>253</v>
      </c>
      <c r="N107"/>
      <c r="O107"/>
    </row>
    <row r="108" spans="5:15">
      <c r="E108"/>
      <c r="F108"/>
      <c r="G108"/>
      <c r="M108" s="4">
        <v>203125.85999999996</v>
      </c>
      <c r="N108"/>
      <c r="O108"/>
    </row>
    <row r="109" spans="5:15">
      <c r="E109"/>
      <c r="F109"/>
      <c r="G109"/>
      <c r="M109"/>
      <c r="N109"/>
      <c r="O109"/>
    </row>
    <row r="110" spans="5:15">
      <c r="E110"/>
      <c r="F110"/>
      <c r="G110"/>
      <c r="M110"/>
      <c r="N110"/>
      <c r="O110"/>
    </row>
    <row r="111" spans="5:15">
      <c r="E111"/>
      <c r="F111"/>
      <c r="G111"/>
      <c r="M111"/>
      <c r="N111"/>
      <c r="O111"/>
    </row>
    <row r="112" spans="5:15">
      <c r="E112"/>
      <c r="F112"/>
      <c r="G112"/>
      <c r="M112"/>
      <c r="N112"/>
      <c r="O112"/>
    </row>
    <row r="113" spans="5:15">
      <c r="E113"/>
      <c r="F113"/>
      <c r="G113"/>
      <c r="M113"/>
      <c r="N113"/>
      <c r="O113"/>
    </row>
    <row r="114" spans="5:15">
      <c r="E114"/>
      <c r="F114"/>
      <c r="G114"/>
      <c r="M114"/>
      <c r="N114"/>
      <c r="O114"/>
    </row>
    <row r="115" spans="5:15">
      <c r="E115"/>
      <c r="F115"/>
      <c r="G115"/>
      <c r="M115"/>
      <c r="N115"/>
      <c r="O115"/>
    </row>
    <row r="116" spans="5:15">
      <c r="E116"/>
      <c r="F116"/>
      <c r="G116"/>
      <c r="M116"/>
      <c r="N116"/>
      <c r="O116"/>
    </row>
    <row r="117" spans="5:15">
      <c r="E117"/>
      <c r="F117"/>
      <c r="G117"/>
      <c r="M117"/>
      <c r="N117"/>
      <c r="O117"/>
    </row>
    <row r="118" spans="5:15">
      <c r="E118"/>
      <c r="F118"/>
      <c r="G118"/>
      <c r="M118"/>
      <c r="N118"/>
      <c r="O118"/>
    </row>
    <row r="119" spans="5:15">
      <c r="E119"/>
      <c r="F119"/>
      <c r="G119"/>
      <c r="K119" t="s">
        <v>254</v>
      </c>
      <c r="L119"/>
      <c r="M119"/>
      <c r="N119"/>
      <c r="O119"/>
    </row>
    <row r="120" spans="5:15">
      <c r="E120"/>
      <c r="F120"/>
      <c r="G120"/>
      <c r="K120" s="5">
        <v>662</v>
      </c>
      <c r="L120"/>
      <c r="M120"/>
      <c r="N120"/>
      <c r="O120"/>
    </row>
    <row r="121" spans="5:15">
      <c r="K121"/>
      <c r="L121"/>
      <c r="M121"/>
      <c r="N121"/>
      <c r="O121"/>
    </row>
    <row r="122" spans="5:15">
      <c r="K122"/>
      <c r="L122"/>
      <c r="M122"/>
      <c r="N122"/>
      <c r="O122"/>
    </row>
    <row r="123" spans="5:15">
      <c r="K123"/>
      <c r="L123"/>
      <c r="M123"/>
      <c r="N123"/>
      <c r="O123"/>
    </row>
    <row r="124" spans="5:15">
      <c r="K124"/>
      <c r="L124"/>
      <c r="M124"/>
      <c r="N124"/>
      <c r="O124"/>
    </row>
    <row r="125" spans="5:15">
      <c r="K125"/>
      <c r="L125"/>
      <c r="M125"/>
    </row>
    <row r="126" spans="5:15">
      <c r="K126"/>
      <c r="L126"/>
      <c r="M126"/>
    </row>
    <row r="127" spans="5:15">
      <c r="K127"/>
      <c r="L127"/>
      <c r="M127"/>
    </row>
    <row r="128" spans="5:15">
      <c r="K128"/>
      <c r="L128"/>
      <c r="M128"/>
    </row>
    <row r="129" spans="6:13">
      <c r="K129"/>
      <c r="L129"/>
      <c r="M129"/>
    </row>
    <row r="130" spans="6:13">
      <c r="F130" s="6" t="s">
        <v>4</v>
      </c>
      <c r="G130" t="s">
        <v>247</v>
      </c>
      <c r="H130"/>
      <c r="K130"/>
      <c r="L130"/>
      <c r="M130"/>
    </row>
    <row r="131" spans="6:13">
      <c r="F131" t="s">
        <v>110</v>
      </c>
      <c r="G131" s="4">
        <v>4617.4799999999996</v>
      </c>
      <c r="H131"/>
      <c r="K131"/>
      <c r="L131"/>
      <c r="M131"/>
    </row>
    <row r="132" spans="6:13">
      <c r="F132" t="s">
        <v>45</v>
      </c>
      <c r="G132" s="4">
        <v>12447.220000000003</v>
      </c>
      <c r="H132"/>
      <c r="K132"/>
      <c r="L132"/>
      <c r="M132"/>
    </row>
    <row r="133" spans="6:13">
      <c r="F133" t="s">
        <v>28</v>
      </c>
      <c r="G133" s="4">
        <v>67997.86</v>
      </c>
      <c r="H133"/>
      <c r="K133"/>
      <c r="L133"/>
      <c r="M133"/>
    </row>
    <row r="134" spans="6:13">
      <c r="F134" t="s">
        <v>19</v>
      </c>
      <c r="G134" s="4">
        <v>105705.25</v>
      </c>
      <c r="H134"/>
      <c r="K134"/>
      <c r="L134"/>
      <c r="M134"/>
    </row>
    <row r="135" spans="6:13">
      <c r="F135" t="s">
        <v>62</v>
      </c>
      <c r="G135" s="4">
        <v>10723.09</v>
      </c>
      <c r="H135"/>
      <c r="K135"/>
      <c r="L135"/>
      <c r="M135"/>
    </row>
    <row r="136" spans="6:13">
      <c r="F136" t="s">
        <v>52</v>
      </c>
      <c r="G136" s="4">
        <v>346553.54</v>
      </c>
      <c r="H136"/>
      <c r="K136"/>
      <c r="L136"/>
      <c r="M136"/>
    </row>
    <row r="137" spans="6:13">
      <c r="F137" t="s">
        <v>38</v>
      </c>
      <c r="G137" s="4">
        <v>348725.04000000004</v>
      </c>
      <c r="H137"/>
    </row>
    <row r="138" spans="6:13">
      <c r="F138" t="s">
        <v>58</v>
      </c>
      <c r="G138" s="4">
        <v>42759.61</v>
      </c>
      <c r="H138"/>
    </row>
    <row r="139" spans="6:13">
      <c r="F139" t="s">
        <v>71</v>
      </c>
      <c r="G139" s="4">
        <v>23485.71</v>
      </c>
      <c r="H139"/>
    </row>
    <row r="140" spans="6:13">
      <c r="F140" t="s">
        <v>121</v>
      </c>
      <c r="G140" s="4">
        <v>10801.060000000001</v>
      </c>
      <c r="H140"/>
    </row>
    <row r="141" spans="6:13">
      <c r="F141" t="s">
        <v>248</v>
      </c>
      <c r="G141" s="4">
        <v>973815.86</v>
      </c>
      <c r="H141"/>
    </row>
    <row r="142" spans="6:13">
      <c r="F142"/>
      <c r="G142"/>
      <c r="H142"/>
    </row>
    <row r="143" spans="6:13">
      <c r="F143"/>
      <c r="G143"/>
      <c r="H143"/>
    </row>
    <row r="144" spans="6:13">
      <c r="F144"/>
      <c r="G144"/>
      <c r="H144"/>
    </row>
    <row r="145" spans="6:13">
      <c r="F145"/>
      <c r="G145"/>
      <c r="H145"/>
    </row>
    <row r="146" spans="6:13">
      <c r="F146"/>
      <c r="G146"/>
      <c r="H146"/>
    </row>
    <row r="147" spans="6:13">
      <c r="F147"/>
      <c r="G147"/>
      <c r="H147"/>
    </row>
    <row r="149" spans="6:13">
      <c r="K149" s="6" t="s">
        <v>5</v>
      </c>
      <c r="L149" t="s">
        <v>247</v>
      </c>
      <c r="M149"/>
    </row>
    <row r="150" spans="6:13">
      <c r="K150" t="s">
        <v>122</v>
      </c>
      <c r="L150" s="4">
        <v>10801.060000000001</v>
      </c>
      <c r="M150"/>
    </row>
    <row r="151" spans="6:13">
      <c r="K151" t="s">
        <v>59</v>
      </c>
      <c r="L151" s="4">
        <v>42759.61</v>
      </c>
      <c r="M151"/>
    </row>
    <row r="152" spans="6:13">
      <c r="K152" t="s">
        <v>46</v>
      </c>
      <c r="L152" s="4">
        <v>17064.7</v>
      </c>
      <c r="M152"/>
    </row>
    <row r="153" spans="6:13">
      <c r="K153" t="s">
        <v>39</v>
      </c>
      <c r="L153" s="4">
        <v>695278.57999999984</v>
      </c>
      <c r="M153"/>
    </row>
    <row r="154" spans="6:13">
      <c r="K154" t="s">
        <v>20</v>
      </c>
      <c r="L154" s="4">
        <v>173703.11</v>
      </c>
      <c r="M154"/>
    </row>
    <row r="155" spans="6:13">
      <c r="K155" t="s">
        <v>63</v>
      </c>
      <c r="L155" s="4">
        <v>34208.799999999996</v>
      </c>
      <c r="M155"/>
    </row>
    <row r="156" spans="6:13">
      <c r="F156" s="6" t="s">
        <v>12</v>
      </c>
      <c r="G156" t="s">
        <v>255</v>
      </c>
      <c r="H156"/>
      <c r="K156" t="s">
        <v>248</v>
      </c>
      <c r="L156" s="4">
        <v>973815.85999999987</v>
      </c>
      <c r="M156"/>
    </row>
    <row r="157" spans="6:13">
      <c r="F157" t="s">
        <v>21</v>
      </c>
      <c r="G157" s="5">
        <v>19</v>
      </c>
      <c r="H157"/>
      <c r="K157"/>
      <c r="L157"/>
      <c r="M157"/>
    </row>
    <row r="158" spans="6:13">
      <c r="F158" t="s">
        <v>53</v>
      </c>
      <c r="G158" s="5">
        <v>20</v>
      </c>
      <c r="H158"/>
      <c r="K158"/>
      <c r="L158"/>
      <c r="M158"/>
    </row>
    <row r="159" spans="6:13">
      <c r="F159" t="s">
        <v>47</v>
      </c>
      <c r="G159" s="5">
        <v>21</v>
      </c>
      <c r="H159"/>
      <c r="K159"/>
      <c r="L159"/>
      <c r="M159"/>
    </row>
    <row r="160" spans="6:13">
      <c r="F160" t="s">
        <v>40</v>
      </c>
      <c r="G160" s="5">
        <v>24</v>
      </c>
      <c r="H160"/>
      <c r="K160"/>
      <c r="L160"/>
      <c r="M160"/>
    </row>
    <row r="161" spans="6:13">
      <c r="F161" t="s">
        <v>29</v>
      </c>
      <c r="G161" s="5">
        <v>16</v>
      </c>
      <c r="H161"/>
      <c r="K161"/>
      <c r="L161"/>
      <c r="M161"/>
    </row>
    <row r="162" spans="6:13">
      <c r="F162" t="s">
        <v>248</v>
      </c>
      <c r="G162" s="5">
        <v>100</v>
      </c>
      <c r="H162"/>
      <c r="K162"/>
      <c r="L162"/>
      <c r="M162"/>
    </row>
    <row r="163" spans="6:13">
      <c r="F163"/>
      <c r="G163"/>
      <c r="H163"/>
      <c r="K163"/>
      <c r="L163"/>
      <c r="M163"/>
    </row>
    <row r="164" spans="6:13">
      <c r="F164"/>
      <c r="G164"/>
      <c r="H164"/>
      <c r="K164"/>
      <c r="L164"/>
      <c r="M164"/>
    </row>
    <row r="165" spans="6:13">
      <c r="F165"/>
      <c r="G165"/>
      <c r="H165"/>
      <c r="K165"/>
      <c r="L165"/>
      <c r="M165"/>
    </row>
    <row r="166" spans="6:13">
      <c r="F166"/>
      <c r="G166"/>
      <c r="H166"/>
      <c r="K166"/>
      <c r="L166"/>
      <c r="M166"/>
    </row>
    <row r="167" spans="6:13">
      <c r="F167"/>
      <c r="G167"/>
      <c r="H167"/>
    </row>
    <row r="168" spans="6:13">
      <c r="F168"/>
      <c r="G168"/>
      <c r="H168"/>
    </row>
    <row r="169" spans="6:13">
      <c r="F169"/>
      <c r="G169"/>
      <c r="H169"/>
    </row>
    <row r="170" spans="6:13">
      <c r="F170"/>
      <c r="G170"/>
      <c r="H170"/>
    </row>
    <row r="171" spans="6:13">
      <c r="F171"/>
      <c r="G171"/>
      <c r="H171"/>
    </row>
    <row r="172" spans="6:13">
      <c r="F172"/>
      <c r="G172"/>
      <c r="H172"/>
    </row>
    <row r="173" spans="6:13">
      <c r="F173"/>
      <c r="G173"/>
      <c r="H173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2026-05-26T05:20:01Z</dcterms:created>
  <dcterms:modified xsi:type="dcterms:W3CDTF">2026-05-27T23:24:00Z</dcterms:modified>
  <cp:category/>
  <cp:contentStatus/>
</cp:coreProperties>
</file>